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projects\BrokerRegistry\"/>
    </mc:Choice>
  </mc:AlternateContent>
  <bookViews>
    <workbookView xWindow="0" yWindow="0" windowWidth="22995" windowHeight="9240" activeTab="1"/>
  </bookViews>
  <sheets>
    <sheet name="Реестр" sheetId="1" r:id="rId1"/>
    <sheet name="Этаж1" sheetId="8" r:id="rId2"/>
    <sheet name="Этаж2" sheetId="6" r:id="rId3"/>
    <sheet name="Этаж3" sheetId="7" r:id="rId4"/>
    <sheet name="Списки" sheetId="4" r:id="rId5"/>
  </sheets>
  <functionGroups builtInGroupCount="18"/>
  <definedNames>
    <definedName name="Локации">Списки!$B$4:$B$124</definedName>
    <definedName name="Срез_Брокер">#N/A</definedName>
    <definedName name="Срез_Статус">#N/A</definedName>
    <definedName name="Статусы">Списки!$F$4:$F$12</definedName>
    <definedName name="Ячейки">Списки!$D$4:$D$70</definedName>
  </definedNames>
  <calcPr calcId="15251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3" i="1" l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 l="1"/>
  <c r="A19" i="1"/>
  <c r="A18" i="1"/>
  <c r="A17" i="1"/>
  <c r="A16" i="1"/>
  <c r="A15" i="1"/>
  <c r="A14" i="1"/>
  <c r="A13" i="1"/>
  <c r="A12" i="1" l="1"/>
  <c r="A11" i="1"/>
  <c r="A10" i="1"/>
  <c r="A9" i="1"/>
  <c r="A8" i="1"/>
  <c r="A7" i="1"/>
  <c r="A6" i="1"/>
  <c r="A5" i="1"/>
  <c r="A4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I6" i="4" l="1"/>
  <c r="I5" i="4"/>
  <c r="I4" i="4"/>
  <c r="B1" i="1" l="1"/>
</calcChain>
</file>

<file path=xl/sharedStrings.xml><?xml version="1.0" encoding="utf-8"?>
<sst xmlns="http://schemas.openxmlformats.org/spreadsheetml/2006/main" count="795" uniqueCount="483">
  <si>
    <t>№</t>
  </si>
  <si>
    <t>Брокер</t>
  </si>
  <si>
    <t>Товарная категория</t>
  </si>
  <si>
    <t>Группа компаний</t>
  </si>
  <si>
    <t>Бренд</t>
  </si>
  <si>
    <t>Статус</t>
  </si>
  <si>
    <t>Комментарий</t>
  </si>
  <si>
    <t>Дата следующего контакта</t>
  </si>
  <si>
    <t>Площадь
от-до</t>
  </si>
  <si>
    <t>Контактное лицо</t>
  </si>
  <si>
    <t>Должность</t>
  </si>
  <si>
    <t>Телефон</t>
  </si>
  <si>
    <t>E-mail</t>
  </si>
  <si>
    <t>Срок согласования коммерческих условий</t>
  </si>
  <si>
    <t>Срок подписания договора</t>
  </si>
  <si>
    <t>Отказ</t>
  </si>
  <si>
    <t>Косметика Оптика Аптека</t>
  </si>
  <si>
    <t>Одежда</t>
  </si>
  <si>
    <t>Gloria Jeans</t>
  </si>
  <si>
    <t>Дата:</t>
  </si>
  <si>
    <t>Mercury</t>
  </si>
  <si>
    <t>Вахнин</t>
  </si>
  <si>
    <t>Срок согласования локации</t>
  </si>
  <si>
    <t>Презентация проекта</t>
  </si>
  <si>
    <t>Согласование локации</t>
  </si>
  <si>
    <t>№ Помещения</t>
  </si>
  <si>
    <t>1Б-12</t>
  </si>
  <si>
    <t>1Б-13</t>
  </si>
  <si>
    <t>Локация согласована</t>
  </si>
  <si>
    <t>Договор подписан</t>
  </si>
  <si>
    <t>Венглинская</t>
  </si>
  <si>
    <t>Мурадян</t>
  </si>
  <si>
    <t>1Б-01</t>
  </si>
  <si>
    <t>1Б-02</t>
  </si>
  <si>
    <t>1Б-03</t>
  </si>
  <si>
    <t>1Б-04</t>
  </si>
  <si>
    <t>1Б-05</t>
  </si>
  <si>
    <t>1Б-07</t>
  </si>
  <si>
    <t>1Б-08</t>
  </si>
  <si>
    <t>1Б-09</t>
  </si>
  <si>
    <t>1Б-10</t>
  </si>
  <si>
    <t>1Б-11</t>
  </si>
  <si>
    <t>1Б-14</t>
  </si>
  <si>
    <t>1Б-15</t>
  </si>
  <si>
    <t>1Б-16</t>
  </si>
  <si>
    <t>1Б-17</t>
  </si>
  <si>
    <t>1Б-18</t>
  </si>
  <si>
    <t>1Б-19</t>
  </si>
  <si>
    <t>1Б-22</t>
  </si>
  <si>
    <t>1Б-23</t>
  </si>
  <si>
    <t>1Б-24</t>
  </si>
  <si>
    <t>1Б-25</t>
  </si>
  <si>
    <t>1Б-26</t>
  </si>
  <si>
    <t>1Б-28</t>
  </si>
  <si>
    <t>1Б-29</t>
  </si>
  <si>
    <t>1Б-30</t>
  </si>
  <si>
    <t>1Б-31</t>
  </si>
  <si>
    <t>1Б-32</t>
  </si>
  <si>
    <t>1Б-33</t>
  </si>
  <si>
    <t>1В-01</t>
  </si>
  <si>
    <t>1В-02</t>
  </si>
  <si>
    <t>1В-03</t>
  </si>
  <si>
    <t>1В-04</t>
  </si>
  <si>
    <t>1В-05</t>
  </si>
  <si>
    <t>1В-06</t>
  </si>
  <si>
    <t>1В-07</t>
  </si>
  <si>
    <t>1В-08</t>
  </si>
  <si>
    <t>1В-09</t>
  </si>
  <si>
    <t>1В-10</t>
  </si>
  <si>
    <t>1В-11</t>
  </si>
  <si>
    <t>1В-13</t>
  </si>
  <si>
    <t>1В-14</t>
  </si>
  <si>
    <t>1В-15</t>
  </si>
  <si>
    <t>1В-16</t>
  </si>
  <si>
    <t>1В-17</t>
  </si>
  <si>
    <t>1В-18</t>
  </si>
  <si>
    <t>1В-19</t>
  </si>
  <si>
    <t>1В-20</t>
  </si>
  <si>
    <t>1В-21</t>
  </si>
  <si>
    <t>1В-22</t>
  </si>
  <si>
    <t>1В-24</t>
  </si>
  <si>
    <t>1В-26</t>
  </si>
  <si>
    <t>1В-27</t>
  </si>
  <si>
    <t>1В-28</t>
  </si>
  <si>
    <t>1В-29</t>
  </si>
  <si>
    <t>1В-32</t>
  </si>
  <si>
    <t>1В-33</t>
  </si>
  <si>
    <t>1В-35</t>
  </si>
  <si>
    <t>1В-36</t>
  </si>
  <si>
    <t>1В-37</t>
  </si>
  <si>
    <t>1В-38</t>
  </si>
  <si>
    <t>1В-39</t>
  </si>
  <si>
    <t>1В-40</t>
  </si>
  <si>
    <t>1В-41</t>
  </si>
  <si>
    <t>1В-42</t>
  </si>
  <si>
    <t>1В-44</t>
  </si>
  <si>
    <t>&lt;&gt;</t>
  </si>
  <si>
    <t>Согласование условий</t>
  </si>
  <si>
    <t>Согласование договора</t>
  </si>
  <si>
    <t>Этаж1</t>
  </si>
  <si>
    <t>Статусы</t>
  </si>
  <si>
    <t>Файл</t>
  </si>
  <si>
    <t>Закладка</t>
  </si>
  <si>
    <t>Локация</t>
  </si>
  <si>
    <t>Ячейка</t>
  </si>
  <si>
    <t>Консолидация</t>
  </si>
  <si>
    <t>Размещение на плане</t>
  </si>
  <si>
    <t>Есть</t>
  </si>
  <si>
    <t>AB55</t>
  </si>
  <si>
    <t>AG49</t>
  </si>
  <si>
    <t>AJ43</t>
  </si>
  <si>
    <t>AP29</t>
  </si>
  <si>
    <t>BE21</t>
  </si>
  <si>
    <t>BT20</t>
  </si>
  <si>
    <t>CE18</t>
  </si>
  <si>
    <t>CR18</t>
  </si>
  <si>
    <t>DD12</t>
  </si>
  <si>
    <t>DU24</t>
  </si>
  <si>
    <t>DU10</t>
  </si>
  <si>
    <t>EA13</t>
  </si>
  <si>
    <t>EJ18</t>
  </si>
  <si>
    <t>EP20</t>
  </si>
  <si>
    <t>EP13</t>
  </si>
  <si>
    <t>EX13</t>
  </si>
  <si>
    <t>FJ18</t>
  </si>
  <si>
    <t>FL20</t>
  </si>
  <si>
    <t>FQ18</t>
  </si>
  <si>
    <t>FX18</t>
  </si>
  <si>
    <t>GE24</t>
  </si>
  <si>
    <t>GE30</t>
  </si>
  <si>
    <t>BL28</t>
  </si>
  <si>
    <t>DU20</t>
  </si>
  <si>
    <t>DU17</t>
  </si>
  <si>
    <t>DU14</t>
  </si>
  <si>
    <t>W69</t>
  </si>
  <si>
    <t>W73</t>
  </si>
  <si>
    <t>W78</t>
  </si>
  <si>
    <t>W84</t>
  </si>
  <si>
    <t>W90</t>
  </si>
  <si>
    <t>AN104</t>
  </si>
  <si>
    <t>AU104</t>
  </si>
  <si>
    <t>AZ111</t>
  </si>
  <si>
    <t>BE106</t>
  </si>
  <si>
    <t>BO106</t>
  </si>
  <si>
    <t>BS111</t>
  </si>
  <si>
    <t>BS106</t>
  </si>
  <si>
    <t>CF104</t>
  </si>
  <si>
    <t>CF109</t>
  </si>
  <si>
    <t>CF113</t>
  </si>
  <si>
    <t>CK105</t>
  </si>
  <si>
    <t>CP105</t>
  </si>
  <si>
    <t>CU102</t>
  </si>
  <si>
    <t>DE98</t>
  </si>
  <si>
    <t>DI98</t>
  </si>
  <si>
    <t>DE106</t>
  </si>
  <si>
    <t>DS106</t>
  </si>
  <si>
    <t>DV96</t>
  </si>
  <si>
    <t>EA96</t>
  </si>
  <si>
    <t>EF98</t>
  </si>
  <si>
    <t>EM98</t>
  </si>
  <si>
    <t>ES99</t>
  </si>
  <si>
    <t>EX102</t>
  </si>
  <si>
    <t>EX105</t>
  </si>
  <si>
    <t>ES108</t>
  </si>
  <si>
    <t>FL112</t>
  </si>
  <si>
    <t>FL107</t>
  </si>
  <si>
    <t>FL105</t>
  </si>
  <si>
    <t>FL103</t>
  </si>
  <si>
    <t>FL99</t>
  </si>
  <si>
    <t>FQ99</t>
  </si>
  <si>
    <t>FV99</t>
  </si>
  <si>
    <t>GE101</t>
  </si>
  <si>
    <t>1В-45</t>
  </si>
  <si>
    <t>GJ99</t>
  </si>
  <si>
    <t>Этаж2</t>
  </si>
  <si>
    <t>Этаж3</t>
  </si>
  <si>
    <t>Поэтажные
планы</t>
  </si>
  <si>
    <t>Первичный контакт</t>
  </si>
  <si>
    <t>Пауза</t>
  </si>
  <si>
    <t>1В-31</t>
  </si>
  <si>
    <t>1Г-01</t>
  </si>
  <si>
    <t>BC55</t>
  </si>
  <si>
    <t>1Г-03</t>
  </si>
  <si>
    <t>BA59</t>
  </si>
  <si>
    <t>1Г-04</t>
  </si>
  <si>
    <t>BC64</t>
  </si>
  <si>
    <t>1Г-05</t>
  </si>
  <si>
    <t>BJ51</t>
  </si>
  <si>
    <t>1Г-06</t>
  </si>
  <si>
    <t>BC69</t>
  </si>
  <si>
    <t>1Г-07</t>
  </si>
  <si>
    <t>BB79</t>
  </si>
  <si>
    <t>1Г-08</t>
  </si>
  <si>
    <t>AW84</t>
  </si>
  <si>
    <t>1Г-09</t>
  </si>
  <si>
    <t>AU89</t>
  </si>
  <si>
    <t>1Г-10</t>
  </si>
  <si>
    <t>BB89</t>
  </si>
  <si>
    <t>1Г-11</t>
  </si>
  <si>
    <t>BE85</t>
  </si>
  <si>
    <t>1Г-12</t>
  </si>
  <si>
    <t>BJ86</t>
  </si>
  <si>
    <t>1Г-14</t>
  </si>
  <si>
    <t>BS74</t>
  </si>
  <si>
    <t>1Г-15</t>
  </si>
  <si>
    <t>CB74</t>
  </si>
  <si>
    <t>1Г-16</t>
  </si>
  <si>
    <t>BR53</t>
  </si>
  <si>
    <t>1Г-17</t>
  </si>
  <si>
    <t>CC53</t>
  </si>
  <si>
    <t>1Г-18</t>
  </si>
  <si>
    <t>CK42</t>
  </si>
  <si>
    <t>1Г-19</t>
  </si>
  <si>
    <t>CP41</t>
  </si>
  <si>
    <t>1Г-20</t>
  </si>
  <si>
    <t>CW39</t>
  </si>
  <si>
    <t>1Г-21</t>
  </si>
  <si>
    <t>CW45</t>
  </si>
  <si>
    <t>1Г-22</t>
  </si>
  <si>
    <t>CW49</t>
  </si>
  <si>
    <t>1Г-23</t>
  </si>
  <si>
    <t>CW54</t>
  </si>
  <si>
    <t>1Г-24</t>
  </si>
  <si>
    <t>CK60</t>
  </si>
  <si>
    <t>1Г-25</t>
  </si>
  <si>
    <t>CU68</t>
  </si>
  <si>
    <t>1Г-26</t>
  </si>
  <si>
    <t>CK68</t>
  </si>
  <si>
    <t>1Г-27</t>
  </si>
  <si>
    <t>CK84</t>
  </si>
  <si>
    <t>1Г-28</t>
  </si>
  <si>
    <t>CP84</t>
  </si>
  <si>
    <t>1Г-29</t>
  </si>
  <si>
    <t>CU84</t>
  </si>
  <si>
    <t>1Г-30</t>
  </si>
  <si>
    <t>CY84</t>
  </si>
  <si>
    <t>1Д-01</t>
  </si>
  <si>
    <t>EE45</t>
  </si>
  <si>
    <t>1Д-02</t>
  </si>
  <si>
    <t>EE38</t>
  </si>
  <si>
    <t>1Д-03</t>
  </si>
  <si>
    <t>EJ38</t>
  </si>
  <si>
    <t>1Д-04</t>
  </si>
  <si>
    <t>EE55</t>
  </si>
  <si>
    <t>1Д-06</t>
  </si>
  <si>
    <t>EP38</t>
  </si>
  <si>
    <t>1Д-07</t>
  </si>
  <si>
    <t>EV38</t>
  </si>
  <si>
    <t>1Д-08</t>
  </si>
  <si>
    <t>FA38</t>
  </si>
  <si>
    <t>1Д-09</t>
  </si>
  <si>
    <t>FL47</t>
  </si>
  <si>
    <t>1Д-10</t>
  </si>
  <si>
    <t>FQ40</t>
  </si>
  <si>
    <t>1Д-11</t>
  </si>
  <si>
    <t>FU42</t>
  </si>
  <si>
    <t>1Д-13</t>
  </si>
  <si>
    <t>FU55</t>
  </si>
  <si>
    <t>1Д-14</t>
  </si>
  <si>
    <t>FU59</t>
  </si>
  <si>
    <t>1Д-15</t>
  </si>
  <si>
    <t>FL55</t>
  </si>
  <si>
    <t>1Д-16</t>
  </si>
  <si>
    <t>FL73</t>
  </si>
  <si>
    <t>1Д-17</t>
  </si>
  <si>
    <t>FU73</t>
  </si>
  <si>
    <t>1Д-18</t>
  </si>
  <si>
    <t>FK83</t>
  </si>
  <si>
    <t>1Д-19</t>
  </si>
  <si>
    <t>FF83</t>
  </si>
  <si>
    <t>1Д-20</t>
  </si>
  <si>
    <t>FA71</t>
  </si>
  <si>
    <t>1Д-21</t>
  </si>
  <si>
    <t>EP73</t>
  </si>
  <si>
    <t>1Д-22</t>
  </si>
  <si>
    <t>EP83</t>
  </si>
  <si>
    <t>1Д-23</t>
  </si>
  <si>
    <t>EJ78</t>
  </si>
  <si>
    <t>1Д-24</t>
  </si>
  <si>
    <t>ED79</t>
  </si>
  <si>
    <t>1Д-25</t>
  </si>
  <si>
    <t>EE73</t>
  </si>
  <si>
    <t>1Д-26</t>
  </si>
  <si>
    <t>ED70</t>
  </si>
  <si>
    <t>1Д-27</t>
  </si>
  <si>
    <t>EE59</t>
  </si>
  <si>
    <t>Сводный отчет Нагатино ДВ - копия.xlsx</t>
  </si>
  <si>
    <t>Сводный отчет НагатиноВВ - копия.xlsx</t>
  </si>
  <si>
    <t>Сводный отчет Нагатино Мурадян Д - копия.xlsx</t>
  </si>
  <si>
    <t>d:\projects\BrokerRegistry\</t>
  </si>
  <si>
    <t>ДВ</t>
  </si>
  <si>
    <t>Продукты питания</t>
  </si>
  <si>
    <t>Азбука вкуса</t>
  </si>
  <si>
    <t>30.11 Направлена информация по проекту в электронном виде.
05.12 Комитет состоится 12 декабря. Запросил дополнительную информацию по проекту.</t>
  </si>
  <si>
    <t>Юрий Лосев</t>
  </si>
  <si>
    <t>Kiabi</t>
  </si>
  <si>
    <t>05.12 Ширина фасада - от 18 м. Направил планировку с расположением якорей. Ожидаю подтверждение локации.</t>
  </si>
  <si>
    <t>Светлана Карасева</t>
  </si>
  <si>
    <t xml:space="preserve">8 909 935 86 23
</t>
  </si>
  <si>
    <t>s.karaseva@kiabi.com</t>
  </si>
  <si>
    <t>ЦУМ Дисконт</t>
  </si>
  <si>
    <t>01.12 Обсудить возможные локации для ритейлера
07.12 Направлена информация по проекту. Ожидаю ответ</t>
  </si>
  <si>
    <t>7904593@gmail.com</t>
  </si>
  <si>
    <t>1800-2500</t>
  </si>
  <si>
    <t>Terranova</t>
  </si>
  <si>
    <t>Дану Ина
Danu Ina</t>
  </si>
  <si>
    <t>Директор по развитию</t>
  </si>
  <si>
    <t>оф. 39-0541-301-411
м. 373 79722666
39 355 6613070
37 369 500748</t>
  </si>
  <si>
    <t>idanu@teddy.it</t>
  </si>
  <si>
    <t>Terranova - 1300-1400
Caliope - 850</t>
  </si>
  <si>
    <t>Koton</t>
  </si>
  <si>
    <t>07.12 Не готов рассматривать помещение 1г-17, направил запросс на 1б-09. Ожидаю подтверждение.</t>
  </si>
  <si>
    <t>Алмаз Ширеев</t>
  </si>
  <si>
    <t>8 926 932 42 83</t>
  </si>
  <si>
    <t>almazs@koton.com.tr</t>
  </si>
  <si>
    <t>07.12 Направлена информация по проекту в электронном виде.</t>
  </si>
  <si>
    <t>Переговоры по коммерческим условиям</t>
  </si>
  <si>
    <t>Денис Стенько</t>
  </si>
  <si>
    <t>Вице-президент по недвижимости </t>
  </si>
  <si>
    <t>8 968 680 03 13</t>
  </si>
  <si>
    <t>1000-1600</t>
  </si>
  <si>
    <t>07.12 По данному объекту локацию будет согласовывать только Володина. Просят организовать повторную встречу с Олегом Борисовичем.</t>
  </si>
  <si>
    <t>Константин Филипьев
Володина Татьяна
Евгений Порожняков</t>
  </si>
  <si>
    <t>Генеральный директор
Развитие</t>
  </si>
  <si>
    <t>porozhnyakov@alkor.co.ru</t>
  </si>
  <si>
    <t>Benetton</t>
  </si>
  <si>
    <t>16.11 Встреча на MAPIC не проведена. Арендатор не будет рассматривать новые проекты компании до решения текущих вопросов. Организуем встречу в Москве с Олегом Борисовичем
30.11 Встреча проведена. Направлены предлождения по действующим объектам.</t>
  </si>
  <si>
    <t>Малич Руслан
Ивар</t>
  </si>
  <si>
    <t>генеральный директор</t>
  </si>
  <si>
    <t>тел 8 495 287 09 79
моб 8 909 653 31 15
8 926 917 31 26</t>
  </si>
  <si>
    <t>ruslan.malich@benetton.com
Ivar.meyndok@benetton.com</t>
  </si>
  <si>
    <t>Перекресток</t>
  </si>
  <si>
    <t>08.12 Проведена встреча. Предварительно готовы рассмотреть формат магазина от 800 до 1500 кв.м</t>
  </si>
  <si>
    <t>Михаил Князев</t>
  </si>
  <si>
    <t>8 903 019 95 18</t>
  </si>
  <si>
    <t>1б-04</t>
  </si>
  <si>
    <t>Tratorria / Uilliam’s</t>
  </si>
  <si>
    <t>760,8</t>
  </si>
  <si>
    <t>1238,9</t>
  </si>
  <si>
    <t>8-916-755-60-06                 +41 79 958 10 99</t>
  </si>
  <si>
    <t>326,8</t>
  </si>
  <si>
    <t>Smash Bar</t>
  </si>
  <si>
    <t>Гарбер Алексей              DJ Smash</t>
  </si>
  <si>
    <t>237,8</t>
  </si>
  <si>
    <t>Luciano</t>
  </si>
  <si>
    <t>333,4</t>
  </si>
  <si>
    <t>Обед Буфет</t>
  </si>
  <si>
    <t>коммерческие условия получили, устно коммерческие условия подтвердили</t>
  </si>
  <si>
    <t>руководитель отдела развития                                      Собственик</t>
  </si>
  <si>
    <t>m.andrianov@resproject.ru</t>
  </si>
  <si>
    <t>922,2</t>
  </si>
  <si>
    <t>8-909-986-32-33</t>
  </si>
  <si>
    <t>765,8</t>
  </si>
  <si>
    <t>8-909-986-32-34</t>
  </si>
  <si>
    <t>544,1</t>
  </si>
  <si>
    <t>Венглинская Виктория</t>
  </si>
  <si>
    <t>дети</t>
  </si>
  <si>
    <t>Детский мир</t>
  </si>
  <si>
    <t>Направлено предложение с локацией 1в-05 У них совещание 05.12. Будут обсуждать формат 3 300 кв.м . Общалась 06.12. на совете было принято решение, что оптимальный формат - 1500 кв.  Веду переговоры по 3 300 кв.</t>
  </si>
  <si>
    <t>1в-05</t>
  </si>
  <si>
    <t>косметика оптика аптека</t>
  </si>
  <si>
    <t>Рив Гош</t>
  </si>
  <si>
    <t>1г-06</t>
  </si>
  <si>
    <t>Иль Де Ботэ</t>
  </si>
  <si>
    <t>1д-01</t>
  </si>
  <si>
    <t>общепит</t>
  </si>
  <si>
    <t>Шоколадница</t>
  </si>
  <si>
    <t>Очень заинтересованы, готовы встать несколькими форматами: Шоколадница(классический дизайн 180-200кв.м.)                     Шоколадница(тематический дизайн 300-350кв.м.)                                                    Max Brenner 110-140 кв.м.</t>
  </si>
  <si>
    <t>180-200                300-350         110-140</t>
  </si>
  <si>
    <t>одежда</t>
  </si>
  <si>
    <t>LC Waikiki</t>
  </si>
  <si>
    <t>Готовы рассмотреть 1200-1700 кв. (1г-14+1г-15) либо 1г-15+1г-26. Перенесла их на 1б-08 (обсуждаем технические моменты. Лифт+Эскалатор) Решает по 1б-07 и 1б-08</t>
  </si>
  <si>
    <t>1200-1700</t>
  </si>
  <si>
    <t>1б-08</t>
  </si>
  <si>
    <t>Спортмастер</t>
  </si>
  <si>
    <t>1500-2000</t>
  </si>
  <si>
    <t>1б-16</t>
  </si>
  <si>
    <t>Funday</t>
  </si>
  <si>
    <t>1б-26</t>
  </si>
  <si>
    <t>Ostin</t>
  </si>
  <si>
    <t>1в-17</t>
  </si>
  <si>
    <t>Ostin Kids</t>
  </si>
  <si>
    <t>1в-41</t>
  </si>
  <si>
    <t>Adidas</t>
  </si>
  <si>
    <t>Ad.Kids</t>
  </si>
  <si>
    <t>120-150</t>
  </si>
  <si>
    <t>Adidas Originals</t>
  </si>
  <si>
    <t>спорт</t>
  </si>
  <si>
    <t>Reebok</t>
  </si>
  <si>
    <t>Смотрят локации</t>
  </si>
  <si>
    <t>De Facto</t>
  </si>
  <si>
    <t>1100-1300 (смотрят 1б-09) но хотят присоединить 1б-10. Направлена коммерция/ Также направлено предложение по Мытищам.</t>
  </si>
  <si>
    <t>1100-1300</t>
  </si>
  <si>
    <t>1б-09</t>
  </si>
  <si>
    <t>H&amp;M</t>
  </si>
  <si>
    <t>Они ждут от нас автокад всего этажа. Для этого мы подписываем NDA (В процессе)</t>
  </si>
  <si>
    <t>2500-3500</t>
  </si>
  <si>
    <t>1г-14</t>
  </si>
  <si>
    <t>1г-15</t>
  </si>
  <si>
    <t>LPP</t>
  </si>
  <si>
    <t>Reserved – 2000 + м2</t>
  </si>
  <si>
    <t xml:space="preserve">
Mohito – 450 м2</t>
  </si>
  <si>
    <t>House</t>
  </si>
  <si>
    <t>House – 500 м2</t>
  </si>
  <si>
    <t>Cropp – 600 м2</t>
  </si>
  <si>
    <t>Sinsey</t>
  </si>
  <si>
    <t xml:space="preserve">
Sinsay – 350 м2                                                         Ответ по локации 08.12.2016
</t>
  </si>
  <si>
    <t>McDonalds</t>
  </si>
  <si>
    <t>Проявили заинтересованность в помещениях:1б-03; 1г-18, 1г-19; 1б-13</t>
  </si>
  <si>
    <t>1б-13</t>
  </si>
  <si>
    <t>Moneks Traiding</t>
  </si>
  <si>
    <t>Starbucks</t>
  </si>
  <si>
    <t>Ja Malone</t>
  </si>
  <si>
    <t>Mothercare</t>
  </si>
  <si>
    <t>MAC</t>
  </si>
  <si>
    <t>Starbucks, MAC, Ja Malone, Mothercare, Victoria'Secret, Body Shop, laSenza,  Shake Snake</t>
  </si>
  <si>
    <t>Рестораны Парка Горького</t>
  </si>
  <si>
    <t>Uniqlo</t>
  </si>
  <si>
    <t xml:space="preserve">
Требования к помещениям:
• от 1200 кв.м.
• если в 2 этажа, то арендопригодная площадь первого должна быть не менее 600 кв.м.
• вертикальные соединения: лестница + лифт
• фасад 25 м
• наличие канализации
• соседство с фэшн операторами (Zara, H&amp;M)
</t>
  </si>
  <si>
    <t>1б-22</t>
  </si>
  <si>
    <t>ТВОЕ</t>
  </si>
  <si>
    <t>рассмотрят локацию до конца недели</t>
  </si>
  <si>
    <t>1в-09</t>
  </si>
  <si>
    <t>Correa's</t>
  </si>
  <si>
    <t>ювелирка</t>
  </si>
  <si>
    <t>Valtera</t>
  </si>
  <si>
    <t>Valtera, Claire's</t>
  </si>
  <si>
    <t>Ригла</t>
  </si>
  <si>
    <t>1в-16</t>
  </si>
  <si>
    <t>13.12.2016</t>
  </si>
  <si>
    <t>08.12.2016</t>
  </si>
  <si>
    <t>12.12.2016</t>
  </si>
  <si>
    <t>16.11 Проведена встреча на MAPIC. Договорились о повторной встрече в Москве.
Готовы рассмотреть площадку исключительно при компенсации отделки и на 7% от ТО.
30.11 Ожидаю ответ по локации площадок
05.12 Невозможно дозвониться до абонента
07.12 Невозможно дозвониться</t>
  </si>
  <si>
    <t>09.12.2016</t>
  </si>
  <si>
    <t>stenko@gloria-jeans.ru</t>
  </si>
  <si>
    <t>Л‘Этуаль</t>
  </si>
  <si>
    <t>7 495 937-1231
8 926 391 34 02</t>
  </si>
  <si>
    <t>22.12.2016</t>
  </si>
  <si>
    <t>ресторан</t>
  </si>
  <si>
    <t>коммерческие условия получили, считают по своей модели.</t>
  </si>
  <si>
    <t>Сабиров Александр     Алексей Бабаев</t>
  </si>
  <si>
    <t>Учеридитель</t>
  </si>
  <si>
    <t>8-903-724-04-24           8-925-542-30-65</t>
  </si>
  <si>
    <t>Александр' &lt;s7240424@gmail.com&gt;; 'aleksbabaev@gmail.com'</t>
  </si>
  <si>
    <t>Ишак</t>
  </si>
  <si>
    <t>обновленные коммерческие условия получили, считают по своей модели.</t>
  </si>
  <si>
    <t>Ефремова Светлана          Гарбер Алексей</t>
  </si>
  <si>
    <t>руководитель отдела развития                                      Инвестор</t>
  </si>
  <si>
    <t>8-916-755-60-06                 +41 79 958 10 98</t>
  </si>
  <si>
    <t>efremova_s@tanuki.ru'                        'alexey.garber@ghpgroup.com'</t>
  </si>
  <si>
    <t>Тануки</t>
  </si>
  <si>
    <t>Инвестор</t>
  </si>
  <si>
    <t>+41 79 958 10 100</t>
  </si>
  <si>
    <t>alexey.garber@ghpgroup.com'</t>
  </si>
  <si>
    <t>+41 79 958 10 101</t>
  </si>
  <si>
    <t>14.12.2016</t>
  </si>
  <si>
    <t>Андрианов Максим     Алексей Васильчук</t>
  </si>
  <si>
    <t>8-909-986-32-32</t>
  </si>
  <si>
    <t>Чайхона №1</t>
  </si>
  <si>
    <t>ресторан стейков</t>
  </si>
  <si>
    <t>07.12.2016</t>
  </si>
  <si>
    <t>06.12.2016</t>
  </si>
  <si>
    <t>600-700</t>
  </si>
  <si>
    <t>1д-08</t>
  </si>
  <si>
    <t>1в-31</t>
  </si>
  <si>
    <t>250-300</t>
  </si>
  <si>
    <t>1в-18</t>
  </si>
  <si>
    <t>1б-17</t>
  </si>
  <si>
    <t>Reserved</t>
  </si>
  <si>
    <t>1б-05</t>
  </si>
  <si>
    <t xml:space="preserve">
Mohito</t>
  </si>
  <si>
    <t>1г-19</t>
  </si>
  <si>
    <t>1г-05</t>
  </si>
  <si>
    <t>Cropp</t>
  </si>
  <si>
    <t>1д-21</t>
  </si>
  <si>
    <t>1д-16</t>
  </si>
  <si>
    <t>1г-01</t>
  </si>
  <si>
    <t>1в-15</t>
  </si>
  <si>
    <t>1д-20</t>
  </si>
  <si>
    <t>1б-31</t>
  </si>
  <si>
    <t>DA21</t>
  </si>
  <si>
    <t>DF24</t>
  </si>
  <si>
    <t>DF20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</si>
</sst>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9]d\ mmm;@"/>
  </numFmts>
  <fonts count="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sz val="11"/>
      <color rgb="FF000000"/>
      <name val="Calibri"/>
      <family val="2"/>
      <charset val="204"/>
    </font>
    <font>
      <sz val="11"/>
      <color rgb="FFFFFF0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left" vertical="center" wrapText="1"/>
    </xf>
    <xf numFmtId="164" fontId="1" fillId="2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1" fillId="0" borderId="3" xfId="0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/>
    <xf numFmtId="164" fontId="1" fillId="0" borderId="2" xfId="0" applyNumberFormat="1" applyFont="1" applyFill="1" applyBorder="1" applyAlignment="1">
      <alignment horizontal="center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164" fontId="1" fillId="4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6" borderId="5" xfId="0" applyFont="1" applyFill="1" applyBorder="1"/>
    <xf numFmtId="0" fontId="0" fillId="4" borderId="5" xfId="0" applyFill="1" applyBorder="1"/>
    <xf numFmtId="0" fontId="0" fillId="0" borderId="6" xfId="0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0" fillId="0" borderId="12" xfId="0" applyBorder="1"/>
    <xf numFmtId="0" fontId="0" fillId="0" borderId="0" xfId="0" applyAlignment="1">
      <alignment wrapText="1"/>
    </xf>
    <xf numFmtId="0" fontId="5" fillId="0" borderId="0" xfId="0" applyFont="1"/>
    <xf numFmtId="0" fontId="5" fillId="0" borderId="0" xfId="0" applyFont="1" applyBorder="1"/>
    <xf numFmtId="0" fontId="0" fillId="0" borderId="4" xfId="0" applyBorder="1"/>
    <xf numFmtId="0" fontId="0" fillId="0" borderId="5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7" fillId="5" borderId="4" xfId="0" applyFont="1" applyFill="1" applyBorder="1"/>
    <xf numFmtId="0" fontId="3" fillId="3" borderId="5" xfId="0" applyFont="1" applyFill="1" applyBorder="1"/>
    <xf numFmtId="0" fontId="0" fillId="2" borderId="5" xfId="0" applyFill="1" applyBorder="1"/>
    <xf numFmtId="0" fontId="0" fillId="0" borderId="0" xfId="0" applyNumberFormat="1"/>
    <xf numFmtId="0" fontId="0" fillId="0" borderId="0" xfId="0" quotePrefix="1"/>
    <xf numFmtId="0" fontId="0" fillId="0" borderId="0" xfId="0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center" wrapText="1"/>
    </xf>
    <xf numFmtId="0" fontId="0" fillId="4" borderId="0" xfId="0" applyFont="1" applyFill="1"/>
    <xf numFmtId="0" fontId="0" fillId="7" borderId="0" xfId="0" applyFont="1" applyFill="1"/>
    <xf numFmtId="0" fontId="0" fillId="8" borderId="0" xfId="0" applyFont="1" applyFill="1"/>
    <xf numFmtId="0" fontId="0" fillId="9" borderId="0" xfId="0" applyFont="1" applyFill="1"/>
    <xf numFmtId="0" fontId="0" fillId="10" borderId="0" xfId="0" applyFont="1" applyFill="1"/>
    <xf numFmtId="0" fontId="0" fillId="4" borderId="0" xfId="0" applyFill="1"/>
    <xf numFmtId="0" fontId="0" fillId="9" borderId="0" xfId="0" applyFill="1"/>
    <xf numFmtId="0" fontId="2" fillId="7" borderId="0" xfId="0" applyFont="1" applyFill="1"/>
    <xf numFmtId="0" fontId="2" fillId="4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3" fillId="9" borderId="0" xfId="0" applyFont="1" applyFill="1"/>
  </cellXfs>
  <cellStyles count="1">
    <cellStyle name="Обычный" xfId="0" builtinId="0"/>
  </cellStyles>
  <dxfs count="22">
    <dxf>
      <border diagonalUp="0" diagonalDown="0" outline="0">
        <left/>
        <right/>
        <top/>
        <bottom/>
      </border>
    </dxf>
    <dxf>
      <numFmt numFmtId="19" formatCode="dd/mm/yyyy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dd/mm/yyyy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-419]d\ mmm;@"/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[$-419]d\ m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20783</xdr:rowOff>
    </xdr:from>
    <xdr:to>
      <xdr:col>2</xdr:col>
      <xdr:colOff>146462</xdr:colOff>
      <xdr:row>1</xdr:row>
      <xdr:rowOff>1440874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Брокер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Брокер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5840"/>
              <a:ext cx="1822862" cy="14200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146462</xdr:colOff>
      <xdr:row>1</xdr:row>
      <xdr:rowOff>20783</xdr:rowOff>
    </xdr:from>
    <xdr:to>
      <xdr:col>3</xdr:col>
      <xdr:colOff>168233</xdr:colOff>
      <xdr:row>1</xdr:row>
      <xdr:rowOff>1748783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Статус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ату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2862" y="205840"/>
              <a:ext cx="1828800" cy="172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2013 и более поздних версиях.
Если фигура была изменена в более ранней версии Excel или книга была сохранена в Excel 2007ли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</xdr:row>
          <xdr:rowOff>342900</xdr:rowOff>
        </xdr:from>
        <xdr:to>
          <xdr:col>4</xdr:col>
          <xdr:colOff>2238375</xdr:colOff>
          <xdr:row>1</xdr:row>
          <xdr:rowOff>885825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</xdr:row>
          <xdr:rowOff>257175</xdr:rowOff>
        </xdr:from>
        <xdr:to>
          <xdr:col>6</xdr:col>
          <xdr:colOff>2476500</xdr:colOff>
          <xdr:row>1</xdr:row>
          <xdr:rowOff>914400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Update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1</xdr:row>
          <xdr:rowOff>419100</xdr:rowOff>
        </xdr:from>
        <xdr:to>
          <xdr:col>7</xdr:col>
          <xdr:colOff>1885950</xdr:colOff>
          <xdr:row>1</xdr:row>
          <xdr:rowOff>1104900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208</xdr:col>
      <xdr:colOff>4328</xdr:colOff>
      <xdr:row>119</xdr:row>
      <xdr:rowOff>95250</xdr:rowOff>
    </xdr:to>
    <xdr:sp macro="" textlink="">
      <xdr:nvSpPr>
        <xdr:cNvPr id="2" name="Прямоугольник 1"/>
        <xdr:cNvSpPr/>
      </xdr:nvSpPr>
      <xdr:spPr>
        <a:xfrm>
          <a:off x="0" y="0"/>
          <a:ext cx="36798042" cy="3762375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alphaModFix amt="29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108000" rtlCol="0" anchor="ctr"/>
        <a:lstStyle/>
        <a:p>
          <a:pPr algn="ctr"/>
          <a:endParaRPr lang="ru-RU" sz="1100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Брокер" sourceName="Брокер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татус" sourceName="Статус">
  <extLst>
    <x:ext xmlns:x15="http://schemas.microsoft.com/office/spreadsheetml/2010/11/main" uri="{2F2917AC-EB37-4324-AD4E-5DD8C200BD13}">
      <x15:tableSlicerCache tableId="1" column="6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Брокер" cache="Срез_Брокер" caption="Брокер" rowHeight="234950"/>
  <slicer name="Статус" cache="Срез_Статус" caption="Статус" rowHeight="234950"/>
</slicers>
</file>

<file path=xl/tables/table1.xml><?xml version="1.0" encoding="utf-8"?>
<table xmlns="http://schemas.openxmlformats.org/spreadsheetml/2006/main" id="1" name="Реестр" displayName="Реестр" ref="A3:Q107" headerRowDxfId="21" dataDxfId="19" headerRowBorderDxfId="20" tableBorderDxfId="18">
  <autoFilter ref="A3:Q107"/>
  <sortState ref="A4:Q11">
    <sortCondition descending="1" ref="F3:F11"/>
  </sortState>
  <tableColumns count="17">
    <tableColumn id="1" name="№" totalsRowFunction="custom" dataDxfId="17" totalsRowDxfId="16">
      <calculatedColumnFormula>ROW()-3</calculatedColumnFormula>
      <totalsRowFormula>ROW()-3</totalsRowFormula>
    </tableColumn>
    <tableColumn id="2" name="Брокер" totalsRowDxfId="15"/>
    <tableColumn id="3" name="Товарная категория" totalsRowDxfId="14"/>
    <tableColumn id="4" name="Группа компаний" totalsRowDxfId="13"/>
    <tableColumn id="5" name="Бренд" totalsRowLabel="wwwww" totalsRowDxfId="12"/>
    <tableColumn id="6" name="Статус" totalsRowLabel="&lt;&gt;" totalsRowDxfId="11"/>
    <tableColumn id="7" name="Комментарий" totalsRowDxfId="10"/>
    <tableColumn id="8" name="Дата следующего контакта" totalsRowDxfId="9"/>
    <tableColumn id="10" name="Контактное лицо" totalsRowDxfId="8"/>
    <tableColumn id="11" name="Должность" totalsRowDxfId="7"/>
    <tableColumn id="12" name="Телефон" totalsRowDxfId="6"/>
    <tableColumn id="13" name="E-mail" totalsRowDxfId="5"/>
    <tableColumn id="17" name="Площадь_x000a_от-до" totalsRowDxfId="4"/>
    <tableColumn id="14" name="№ Помещения" totalsRowLabel="1Б-01" totalsRowDxfId="3"/>
    <tableColumn id="19" name="Срок согласования локации" totalsRowDxfId="2"/>
    <tableColumn id="20" name="Срок согласования коммерческих условий" totalsRowDxfId="1"/>
    <tableColumn id="21" name="Срок подписания договора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Q1006"/>
  <sheetViews>
    <sheetView zoomScale="55" zoomScaleNormal="55" workbookViewId="0">
      <pane ySplit="3" topLeftCell="A4" activePane="bottomLeft" state="frozen"/>
      <selection pane="bottomLeft" activeCell="D11" sqref="D11"/>
    </sheetView>
  </sheetViews>
  <sheetFormatPr defaultRowHeight="15" x14ac:dyDescent="0.25"/>
  <cols>
    <col min="1" max="1" width="8.5703125" bestFit="1" customWidth="1"/>
    <col min="2" max="2" width="15.85546875" bestFit="1" customWidth="1"/>
    <col min="3" max="3" width="26.28515625" bestFit="1" customWidth="1"/>
    <col min="4" max="4" width="20.140625" bestFit="1" customWidth="1"/>
    <col min="5" max="5" width="45.28515625" style="10" customWidth="1"/>
    <col min="6" max="6" width="19.28515625" customWidth="1"/>
    <col min="7" max="7" width="51.28515625" customWidth="1"/>
    <col min="8" max="8" width="35.140625" customWidth="1"/>
    <col min="9" max="9" width="25.28515625" customWidth="1"/>
    <col min="10" max="10" width="29.140625" customWidth="1"/>
    <col min="11" max="11" width="27.42578125" customWidth="1"/>
    <col min="12" max="12" width="36.28515625" customWidth="1"/>
    <col min="13" max="13" width="17.85546875" customWidth="1"/>
    <col min="14" max="14" width="23.85546875" style="14" customWidth="1"/>
    <col min="15" max="17" width="29.140625" style="9" customWidth="1"/>
  </cols>
  <sheetData>
    <row r="1" spans="1:17" x14ac:dyDescent="0.25">
      <c r="A1" t="s">
        <v>19</v>
      </c>
      <c r="B1" s="6">
        <f ca="1">TODAY()</f>
        <v>42712</v>
      </c>
    </row>
    <row r="2" spans="1:17" ht="145.9" customHeight="1" x14ac:dyDescent="0.25">
      <c r="F2" s="9"/>
      <c r="H2" s="8" t="b">
        <v>0</v>
      </c>
      <c r="N2" s="15"/>
    </row>
    <row r="3" spans="1:17" ht="31.5" x14ac:dyDescent="0.25">
      <c r="A3" s="1" t="s">
        <v>0</v>
      </c>
      <c r="B3" s="2" t="s">
        <v>1</v>
      </c>
      <c r="C3" s="2" t="s">
        <v>2</v>
      </c>
      <c r="D3" s="2" t="s">
        <v>3</v>
      </c>
      <c r="E3" s="3" t="s">
        <v>4</v>
      </c>
      <c r="F3" s="7" t="s">
        <v>5</v>
      </c>
      <c r="G3" s="2" t="s">
        <v>6</v>
      </c>
      <c r="H3" s="11" t="s">
        <v>7</v>
      </c>
      <c r="I3" s="2" t="s">
        <v>9</v>
      </c>
      <c r="J3" s="2" t="s">
        <v>10</v>
      </c>
      <c r="K3" s="2" t="s">
        <v>11</v>
      </c>
      <c r="L3" s="2" t="s">
        <v>12</v>
      </c>
      <c r="M3" s="12" t="s">
        <v>8</v>
      </c>
      <c r="N3" s="11" t="s">
        <v>25</v>
      </c>
      <c r="O3" s="13" t="s">
        <v>22</v>
      </c>
      <c r="P3" s="4" t="s">
        <v>13</v>
      </c>
      <c r="Q3" s="5" t="s">
        <v>14</v>
      </c>
    </row>
    <row r="4" spans="1:17" s="25" customFormat="1" ht="60.75" x14ac:dyDescent="0.3">
      <c r="A4">
        <f t="shared" ref="A4" si="0">ROW()-3</f>
        <v>1</v>
      </c>
      <c r="B4" t="s">
        <v>290</v>
      </c>
      <c r="C4" t="s">
        <v>291</v>
      </c>
      <c r="D4"/>
      <c r="E4" t="s">
        <v>292</v>
      </c>
      <c r="F4" t="s">
        <v>24</v>
      </c>
      <c r="G4" s="24" t="s">
        <v>293</v>
      </c>
      <c r="H4" s="6" t="s">
        <v>429</v>
      </c>
      <c r="I4" t="s">
        <v>294</v>
      </c>
      <c r="J4"/>
      <c r="K4"/>
      <c r="L4"/>
      <c r="M4"/>
      <c r="N4" t="s">
        <v>35</v>
      </c>
      <c r="O4" s="6"/>
      <c r="P4"/>
      <c r="Q4"/>
    </row>
    <row r="5" spans="1:17" s="26" customFormat="1" ht="30.75" x14ac:dyDescent="0.3">
      <c r="A5">
        <f t="shared" ref="A5:A36" si="1">ROW()-3</f>
        <v>2</v>
      </c>
      <c r="B5" t="s">
        <v>290</v>
      </c>
      <c r="C5" t="s">
        <v>17</v>
      </c>
      <c r="D5"/>
      <c r="E5" t="s">
        <v>295</v>
      </c>
      <c r="F5" t="s">
        <v>24</v>
      </c>
      <c r="G5" t="s">
        <v>296</v>
      </c>
      <c r="H5" s="6" t="s">
        <v>430</v>
      </c>
      <c r="I5" t="s">
        <v>297</v>
      </c>
      <c r="J5"/>
      <c r="K5" s="24" t="s">
        <v>298</v>
      </c>
      <c r="L5" t="s">
        <v>299</v>
      </c>
      <c r="M5">
        <v>1700</v>
      </c>
      <c r="N5" t="s">
        <v>36</v>
      </c>
      <c r="O5"/>
      <c r="P5" s="6"/>
      <c r="Q5" s="6"/>
    </row>
    <row r="6" spans="1:17" s="25" customFormat="1" ht="45.75" x14ac:dyDescent="0.3">
      <c r="A6">
        <f t="shared" si="1"/>
        <v>3</v>
      </c>
      <c r="B6" t="s">
        <v>290</v>
      </c>
      <c r="C6" t="s">
        <v>17</v>
      </c>
      <c r="D6" t="s">
        <v>20</v>
      </c>
      <c r="E6" t="s">
        <v>300</v>
      </c>
      <c r="F6" t="s">
        <v>24</v>
      </c>
      <c r="G6" s="24" t="s">
        <v>301</v>
      </c>
      <c r="H6" s="6" t="s">
        <v>431</v>
      </c>
      <c r="I6" s="24"/>
      <c r="J6"/>
      <c r="K6" s="24"/>
      <c r="L6" t="s">
        <v>302</v>
      </c>
      <c r="M6" t="s">
        <v>303</v>
      </c>
      <c r="N6" t="s">
        <v>36</v>
      </c>
      <c r="O6" s="6"/>
      <c r="P6"/>
      <c r="Q6" s="6"/>
    </row>
    <row r="7" spans="1:17" s="25" customFormat="1" ht="105.75" x14ac:dyDescent="0.3">
      <c r="A7">
        <f t="shared" si="1"/>
        <v>4</v>
      </c>
      <c r="B7" t="s">
        <v>290</v>
      </c>
      <c r="C7" t="s">
        <v>17</v>
      </c>
      <c r="D7"/>
      <c r="E7" t="s">
        <v>304</v>
      </c>
      <c r="F7" t="s">
        <v>24</v>
      </c>
      <c r="G7" s="24" t="s">
        <v>432</v>
      </c>
      <c r="H7" s="6" t="s">
        <v>433</v>
      </c>
      <c r="I7" s="24" t="s">
        <v>305</v>
      </c>
      <c r="J7" t="s">
        <v>306</v>
      </c>
      <c r="K7" s="24" t="s">
        <v>307</v>
      </c>
      <c r="L7" t="s">
        <v>308</v>
      </c>
      <c r="M7" s="24" t="s">
        <v>309</v>
      </c>
      <c r="N7" t="s">
        <v>38</v>
      </c>
      <c r="O7" s="6"/>
      <c r="P7"/>
      <c r="Q7"/>
    </row>
    <row r="8" spans="1:17" s="25" customFormat="1" ht="16.5" x14ac:dyDescent="0.3">
      <c r="A8">
        <f t="shared" si="1"/>
        <v>5</v>
      </c>
      <c r="B8" t="s">
        <v>290</v>
      </c>
      <c r="C8" t="s">
        <v>17</v>
      </c>
      <c r="D8"/>
      <c r="E8" t="s">
        <v>310</v>
      </c>
      <c r="F8" t="s">
        <v>24</v>
      </c>
      <c r="G8" t="s">
        <v>311</v>
      </c>
      <c r="H8" s="6" t="s">
        <v>430</v>
      </c>
      <c r="I8" t="s">
        <v>312</v>
      </c>
      <c r="J8" t="s">
        <v>306</v>
      </c>
      <c r="K8" t="s">
        <v>313</v>
      </c>
      <c r="L8" t="s">
        <v>314</v>
      </c>
      <c r="M8">
        <v>1500</v>
      </c>
      <c r="N8" t="s">
        <v>39</v>
      </c>
      <c r="O8"/>
      <c r="P8"/>
      <c r="Q8"/>
    </row>
    <row r="9" spans="1:17" s="25" customFormat="1" ht="16.5" x14ac:dyDescent="0.3">
      <c r="A9">
        <f t="shared" si="1"/>
        <v>6</v>
      </c>
      <c r="B9" t="s">
        <v>290</v>
      </c>
      <c r="C9" t="s">
        <v>17</v>
      </c>
      <c r="D9"/>
      <c r="E9" t="s">
        <v>18</v>
      </c>
      <c r="F9" t="s">
        <v>24</v>
      </c>
      <c r="G9" t="s">
        <v>315</v>
      </c>
      <c r="H9" t="s">
        <v>316</v>
      </c>
      <c r="I9" t="s">
        <v>317</v>
      </c>
      <c r="J9" t="s">
        <v>318</v>
      </c>
      <c r="K9" t="s">
        <v>319</v>
      </c>
      <c r="L9" t="s">
        <v>434</v>
      </c>
      <c r="M9" t="s">
        <v>320</v>
      </c>
      <c r="N9" t="s">
        <v>48</v>
      </c>
      <c r="O9"/>
      <c r="P9"/>
      <c r="Q9"/>
    </row>
    <row r="10" spans="1:17" s="25" customFormat="1" ht="75.75" x14ac:dyDescent="0.3">
      <c r="A10">
        <f t="shared" si="1"/>
        <v>7</v>
      </c>
      <c r="B10" t="s">
        <v>290</v>
      </c>
      <c r="C10" t="s">
        <v>16</v>
      </c>
      <c r="D10"/>
      <c r="E10" t="s">
        <v>435</v>
      </c>
      <c r="F10" t="s">
        <v>24</v>
      </c>
      <c r="G10" t="s">
        <v>321</v>
      </c>
      <c r="H10" s="6" t="s">
        <v>430</v>
      </c>
      <c r="I10" s="24" t="s">
        <v>322</v>
      </c>
      <c r="J10" s="24" t="s">
        <v>323</v>
      </c>
      <c r="K10" s="24" t="s">
        <v>436</v>
      </c>
      <c r="L10" t="s">
        <v>324</v>
      </c>
      <c r="M10"/>
      <c r="N10"/>
      <c r="O10" s="6"/>
      <c r="P10"/>
      <c r="Q10"/>
    </row>
    <row r="11" spans="1:17" s="25" customFormat="1" ht="90.75" x14ac:dyDescent="0.3">
      <c r="A11">
        <f t="shared" si="1"/>
        <v>8</v>
      </c>
      <c r="B11" t="s">
        <v>290</v>
      </c>
      <c r="C11" t="s">
        <v>17</v>
      </c>
      <c r="D11"/>
      <c r="E11" t="s">
        <v>325</v>
      </c>
      <c r="F11" t="s">
        <v>24</v>
      </c>
      <c r="G11" s="24" t="s">
        <v>326</v>
      </c>
      <c r="H11" s="6" t="s">
        <v>433</v>
      </c>
      <c r="I11" s="24" t="s">
        <v>327</v>
      </c>
      <c r="J11" t="s">
        <v>328</v>
      </c>
      <c r="K11" s="24" t="s">
        <v>329</v>
      </c>
      <c r="L11" s="24" t="s">
        <v>330</v>
      </c>
      <c r="M11"/>
      <c r="N11" t="s">
        <v>26</v>
      </c>
      <c r="O11" s="6"/>
      <c r="P11" s="6"/>
      <c r="Q11"/>
    </row>
    <row r="12" spans="1:17" s="25" customFormat="1" ht="16.5" x14ac:dyDescent="0.3">
      <c r="A12">
        <f t="shared" si="1"/>
        <v>9</v>
      </c>
      <c r="B12" t="s">
        <v>290</v>
      </c>
      <c r="C12" t="s">
        <v>291</v>
      </c>
      <c r="D12"/>
      <c r="E12" t="s">
        <v>331</v>
      </c>
      <c r="F12" t="s">
        <v>24</v>
      </c>
      <c r="G12" t="s">
        <v>332</v>
      </c>
      <c r="H12" s="6" t="s">
        <v>430</v>
      </c>
      <c r="I12" t="s">
        <v>333</v>
      </c>
      <c r="J12"/>
      <c r="K12" s="24" t="s">
        <v>334</v>
      </c>
      <c r="L12"/>
      <c r="M12"/>
      <c r="N12" t="s">
        <v>335</v>
      </c>
      <c r="O12" s="6" t="s">
        <v>437</v>
      </c>
      <c r="P12" s="6"/>
      <c r="Q12" s="6"/>
    </row>
    <row r="13" spans="1:17" s="25" customFormat="1" ht="30.75" x14ac:dyDescent="0.3">
      <c r="A13">
        <f t="shared" si="1"/>
        <v>10</v>
      </c>
      <c r="B13" t="s">
        <v>31</v>
      </c>
      <c r="C13" t="s">
        <v>438</v>
      </c>
      <c r="D13"/>
      <c r="E13" t="s">
        <v>336</v>
      </c>
      <c r="F13" t="s">
        <v>97</v>
      </c>
      <c r="G13" t="s">
        <v>439</v>
      </c>
      <c r="H13" s="6" t="s">
        <v>431</v>
      </c>
      <c r="I13" s="24" t="s">
        <v>440</v>
      </c>
      <c r="J13" t="s">
        <v>441</v>
      </c>
      <c r="K13" s="24" t="s">
        <v>442</v>
      </c>
      <c r="L13" t="s">
        <v>443</v>
      </c>
      <c r="M13" t="s">
        <v>337</v>
      </c>
      <c r="N13" t="s">
        <v>192</v>
      </c>
      <c r="O13" s="6" t="s">
        <v>28</v>
      </c>
      <c r="P13"/>
      <c r="Q13" s="6"/>
    </row>
    <row r="14" spans="1:17" s="25" customFormat="1" ht="30.75" x14ac:dyDescent="0.3">
      <c r="A14">
        <f t="shared" si="1"/>
        <v>11</v>
      </c>
      <c r="B14" t="s">
        <v>31</v>
      </c>
      <c r="C14" t="s">
        <v>438</v>
      </c>
      <c r="D14"/>
      <c r="E14" t="s">
        <v>444</v>
      </c>
      <c r="F14" t="s">
        <v>97</v>
      </c>
      <c r="G14" t="s">
        <v>445</v>
      </c>
      <c r="H14" s="6" t="s">
        <v>429</v>
      </c>
      <c r="I14" s="24" t="s">
        <v>446</v>
      </c>
      <c r="J14" t="s">
        <v>447</v>
      </c>
      <c r="K14" s="24" t="s">
        <v>448</v>
      </c>
      <c r="L14" t="s">
        <v>449</v>
      </c>
      <c r="M14" t="s">
        <v>338</v>
      </c>
      <c r="N14" t="s">
        <v>79</v>
      </c>
      <c r="O14" s="6" t="s">
        <v>28</v>
      </c>
      <c r="P14"/>
      <c r="Q14"/>
    </row>
    <row r="15" spans="1:17" s="25" customFormat="1" ht="16.5" x14ac:dyDescent="0.3">
      <c r="A15">
        <f t="shared" si="1"/>
        <v>12</v>
      </c>
      <c r="B15" t="s">
        <v>31</v>
      </c>
      <c r="C15" t="s">
        <v>438</v>
      </c>
      <c r="D15"/>
      <c r="E15" t="s">
        <v>450</v>
      </c>
      <c r="F15" t="s">
        <v>97</v>
      </c>
      <c r="G15" t="s">
        <v>445</v>
      </c>
      <c r="H15" s="6" t="s">
        <v>429</v>
      </c>
      <c r="I15" t="s">
        <v>446</v>
      </c>
      <c r="J15" t="s">
        <v>447</v>
      </c>
      <c r="K15" t="s">
        <v>339</v>
      </c>
      <c r="L15" t="s">
        <v>449</v>
      </c>
      <c r="M15" t="s">
        <v>340</v>
      </c>
      <c r="N15"/>
      <c r="O15" t="s">
        <v>28</v>
      </c>
      <c r="P15"/>
      <c r="Q15"/>
    </row>
    <row r="16" spans="1:17" s="25" customFormat="1" ht="16.5" x14ac:dyDescent="0.3">
      <c r="A16">
        <f t="shared" si="1"/>
        <v>13</v>
      </c>
      <c r="B16" t="s">
        <v>31</v>
      </c>
      <c r="C16" t="s">
        <v>438</v>
      </c>
      <c r="D16"/>
      <c r="E16" t="s">
        <v>341</v>
      </c>
      <c r="F16" t="s">
        <v>97</v>
      </c>
      <c r="G16" t="s">
        <v>439</v>
      </c>
      <c r="H16" s="6" t="s">
        <v>429</v>
      </c>
      <c r="I16" t="s">
        <v>342</v>
      </c>
      <c r="J16" t="s">
        <v>451</v>
      </c>
      <c r="K16" t="s">
        <v>452</v>
      </c>
      <c r="L16" s="42" t="s">
        <v>453</v>
      </c>
      <c r="M16" t="s">
        <v>343</v>
      </c>
      <c r="N16" t="s">
        <v>224</v>
      </c>
      <c r="O16" t="s">
        <v>28</v>
      </c>
      <c r="P16"/>
      <c r="Q16"/>
    </row>
    <row r="17" spans="1:17" s="25" customFormat="1" ht="16.5" x14ac:dyDescent="0.3">
      <c r="A17">
        <f t="shared" si="1"/>
        <v>14</v>
      </c>
      <c r="B17" t="s">
        <v>31</v>
      </c>
      <c r="C17" t="s">
        <v>438</v>
      </c>
      <c r="D17" t="s">
        <v>20</v>
      </c>
      <c r="E17" t="s">
        <v>344</v>
      </c>
      <c r="F17" t="s">
        <v>97</v>
      </c>
      <c r="G17" t="s">
        <v>439</v>
      </c>
      <c r="H17" s="6" t="s">
        <v>429</v>
      </c>
      <c r="I17" t="s">
        <v>342</v>
      </c>
      <c r="J17" t="s">
        <v>451</v>
      </c>
      <c r="K17" t="s">
        <v>454</v>
      </c>
      <c r="L17" s="42" t="s">
        <v>453</v>
      </c>
      <c r="M17" t="s">
        <v>345</v>
      </c>
      <c r="N17" t="s">
        <v>264</v>
      </c>
      <c r="O17" s="6" t="s">
        <v>28</v>
      </c>
      <c r="P17"/>
      <c r="Q17"/>
    </row>
    <row r="18" spans="1:17" s="25" customFormat="1" ht="16.5" x14ac:dyDescent="0.3">
      <c r="A18">
        <f t="shared" si="1"/>
        <v>15</v>
      </c>
      <c r="B18" t="s">
        <v>31</v>
      </c>
      <c r="C18" t="s">
        <v>438</v>
      </c>
      <c r="D18"/>
      <c r="E18" t="s">
        <v>346</v>
      </c>
      <c r="F18" t="s">
        <v>97</v>
      </c>
      <c r="G18" t="s">
        <v>347</v>
      </c>
      <c r="H18" s="6" t="s">
        <v>455</v>
      </c>
      <c r="I18" t="s">
        <v>456</v>
      </c>
      <c r="J18" t="s">
        <v>348</v>
      </c>
      <c r="K18" s="24" t="s">
        <v>457</v>
      </c>
      <c r="L18" t="s">
        <v>349</v>
      </c>
      <c r="M18" t="s">
        <v>350</v>
      </c>
      <c r="N18"/>
      <c r="O18" t="s">
        <v>28</v>
      </c>
      <c r="P18" s="6"/>
      <c r="Q18"/>
    </row>
    <row r="19" spans="1:17" s="25" customFormat="1" ht="16.5" x14ac:dyDescent="0.3">
      <c r="A19">
        <f t="shared" si="1"/>
        <v>16</v>
      </c>
      <c r="B19" t="s">
        <v>31</v>
      </c>
      <c r="C19" t="s">
        <v>438</v>
      </c>
      <c r="D19"/>
      <c r="E19" t="s">
        <v>458</v>
      </c>
      <c r="F19" t="s">
        <v>97</v>
      </c>
      <c r="G19" t="s">
        <v>347</v>
      </c>
      <c r="H19" s="6" t="s">
        <v>455</v>
      </c>
      <c r="I19" t="s">
        <v>456</v>
      </c>
      <c r="J19" t="s">
        <v>348</v>
      </c>
      <c r="K19" t="s">
        <v>351</v>
      </c>
      <c r="L19" t="s">
        <v>349</v>
      </c>
      <c r="M19" t="s">
        <v>352</v>
      </c>
      <c r="N19" t="s">
        <v>47</v>
      </c>
      <c r="O19" t="s">
        <v>28</v>
      </c>
      <c r="P19"/>
      <c r="Q19" s="6"/>
    </row>
    <row r="20" spans="1:17" s="25" customFormat="1" ht="30.75" x14ac:dyDescent="0.3">
      <c r="A20">
        <f t="shared" si="1"/>
        <v>17</v>
      </c>
      <c r="B20" t="s">
        <v>31</v>
      </c>
      <c r="C20" t="s">
        <v>438</v>
      </c>
      <c r="D20"/>
      <c r="E20" t="s">
        <v>459</v>
      </c>
      <c r="F20" t="s">
        <v>97</v>
      </c>
      <c r="G20" t="s">
        <v>439</v>
      </c>
      <c r="H20" s="6" t="s">
        <v>455</v>
      </c>
      <c r="I20" s="24" t="s">
        <v>456</v>
      </c>
      <c r="J20" t="s">
        <v>348</v>
      </c>
      <c r="K20" s="24" t="s">
        <v>353</v>
      </c>
      <c r="L20" t="s">
        <v>349</v>
      </c>
      <c r="M20" t="s">
        <v>354</v>
      </c>
      <c r="N20" t="s">
        <v>216</v>
      </c>
      <c r="O20" s="6" t="s">
        <v>28</v>
      </c>
      <c r="P20"/>
      <c r="Q20"/>
    </row>
    <row r="21" spans="1:17" s="25" customFormat="1" ht="16.5" x14ac:dyDescent="0.3">
      <c r="A21">
        <f t="shared" si="1"/>
        <v>18</v>
      </c>
      <c r="B21" t="s">
        <v>355</v>
      </c>
      <c r="C21" t="s">
        <v>356</v>
      </c>
      <c r="D21"/>
      <c r="E21" t="s">
        <v>357</v>
      </c>
      <c r="F21" t="s">
        <v>24</v>
      </c>
      <c r="G21" t="s">
        <v>358</v>
      </c>
      <c r="H21" s="6" t="s">
        <v>429</v>
      </c>
      <c r="I21"/>
      <c r="J21"/>
      <c r="K21"/>
      <c r="L21"/>
      <c r="M21"/>
      <c r="N21" t="s">
        <v>359</v>
      </c>
      <c r="O21"/>
      <c r="P21"/>
      <c r="Q21"/>
    </row>
    <row r="22" spans="1:17" s="25" customFormat="1" ht="16.5" x14ac:dyDescent="0.3">
      <c r="A22">
        <f t="shared" si="1"/>
        <v>19</v>
      </c>
      <c r="B22" t="s">
        <v>355</v>
      </c>
      <c r="C22" t="s">
        <v>360</v>
      </c>
      <c r="D22"/>
      <c r="E22" t="s">
        <v>361</v>
      </c>
      <c r="F22" t="s">
        <v>97</v>
      </c>
      <c r="G22"/>
      <c r="H22" s="6" t="s">
        <v>430</v>
      </c>
      <c r="I22"/>
      <c r="J22"/>
      <c r="K22"/>
      <c r="L22"/>
      <c r="M22"/>
      <c r="N22" t="s">
        <v>362</v>
      </c>
      <c r="O22"/>
      <c r="P22"/>
      <c r="Q22"/>
    </row>
    <row r="23" spans="1:17" s="25" customFormat="1" ht="16.5" x14ac:dyDescent="0.3">
      <c r="A23">
        <f t="shared" si="1"/>
        <v>20</v>
      </c>
      <c r="B23" t="s">
        <v>355</v>
      </c>
      <c r="C23" t="s">
        <v>360</v>
      </c>
      <c r="D23"/>
      <c r="E23" t="s">
        <v>363</v>
      </c>
      <c r="F23" t="s">
        <v>97</v>
      </c>
      <c r="G23"/>
      <c r="H23" s="6" t="s">
        <v>430</v>
      </c>
      <c r="I23"/>
      <c r="J23"/>
      <c r="K23"/>
      <c r="L23"/>
      <c r="M23"/>
      <c r="N23" t="s">
        <v>364</v>
      </c>
      <c r="O23"/>
      <c r="P23"/>
      <c r="Q23"/>
    </row>
    <row r="24" spans="1:17" s="25" customFormat="1" ht="16.5" x14ac:dyDescent="0.3">
      <c r="A24">
        <f t="shared" si="1"/>
        <v>21</v>
      </c>
      <c r="B24" t="s">
        <v>355</v>
      </c>
      <c r="C24" t="s">
        <v>365</v>
      </c>
      <c r="D24"/>
      <c r="E24" t="s">
        <v>366</v>
      </c>
      <c r="F24" t="s">
        <v>97</v>
      </c>
      <c r="G24" t="s">
        <v>367</v>
      </c>
      <c r="H24" s="6" t="s">
        <v>460</v>
      </c>
      <c r="I24"/>
      <c r="J24"/>
      <c r="K24"/>
      <c r="L24"/>
      <c r="M24" t="s">
        <v>368</v>
      </c>
      <c r="N24"/>
      <c r="O24" s="6"/>
      <c r="P24"/>
      <c r="Q24"/>
    </row>
    <row r="25" spans="1:17" s="25" customFormat="1" ht="16.5" x14ac:dyDescent="0.3">
      <c r="A25">
        <f t="shared" si="1"/>
        <v>22</v>
      </c>
      <c r="B25" t="s">
        <v>355</v>
      </c>
      <c r="C25" t="s">
        <v>369</v>
      </c>
      <c r="D25"/>
      <c r="E25" t="s">
        <v>370</v>
      </c>
      <c r="F25" t="s">
        <v>24</v>
      </c>
      <c r="G25" t="s">
        <v>371</v>
      </c>
      <c r="H25" s="6" t="s">
        <v>461</v>
      </c>
      <c r="I25"/>
      <c r="J25"/>
      <c r="K25"/>
      <c r="L25"/>
      <c r="M25" t="s">
        <v>372</v>
      </c>
      <c r="N25" t="s">
        <v>373</v>
      </c>
      <c r="O25" s="6"/>
      <c r="P25"/>
      <c r="Q25"/>
    </row>
    <row r="26" spans="1:17" s="25" customFormat="1" ht="16.5" x14ac:dyDescent="0.3">
      <c r="A26">
        <f t="shared" si="1"/>
        <v>23</v>
      </c>
      <c r="B26" t="s">
        <v>355</v>
      </c>
      <c r="C26"/>
      <c r="D26" t="s">
        <v>374</v>
      </c>
      <c r="E26" t="s">
        <v>374</v>
      </c>
      <c r="F26" t="s">
        <v>24</v>
      </c>
      <c r="G26"/>
      <c r="H26" s="6"/>
      <c r="I26"/>
      <c r="J26"/>
      <c r="K26"/>
      <c r="L26"/>
      <c r="M26" t="s">
        <v>375</v>
      </c>
      <c r="N26" t="s">
        <v>376</v>
      </c>
      <c r="O26" s="6"/>
      <c r="P26"/>
      <c r="Q26"/>
    </row>
    <row r="27" spans="1:17" s="25" customFormat="1" ht="16.5" x14ac:dyDescent="0.3">
      <c r="A27">
        <f t="shared" si="1"/>
        <v>24</v>
      </c>
      <c r="B27" t="s">
        <v>355</v>
      </c>
      <c r="C27"/>
      <c r="D27" t="s">
        <v>374</v>
      </c>
      <c r="E27" t="s">
        <v>377</v>
      </c>
      <c r="F27" t="s">
        <v>24</v>
      </c>
      <c r="G27"/>
      <c r="H27" s="6"/>
      <c r="I27"/>
      <c r="J27"/>
      <c r="K27" s="24"/>
      <c r="L27"/>
      <c r="M27">
        <v>700</v>
      </c>
      <c r="N27" t="s">
        <v>378</v>
      </c>
      <c r="O27"/>
      <c r="P27" s="6"/>
      <c r="Q27"/>
    </row>
    <row r="28" spans="1:17" s="25" customFormat="1" ht="16.5" x14ac:dyDescent="0.3">
      <c r="A28">
        <f t="shared" si="1"/>
        <v>25</v>
      </c>
      <c r="B28" t="s">
        <v>355</v>
      </c>
      <c r="C28"/>
      <c r="D28" t="s">
        <v>374</v>
      </c>
      <c r="E28" t="s">
        <v>379</v>
      </c>
      <c r="F28" t="s">
        <v>24</v>
      </c>
      <c r="G28"/>
      <c r="H28" s="6"/>
      <c r="I28"/>
      <c r="J28"/>
      <c r="K28"/>
      <c r="L28"/>
      <c r="M28">
        <v>500</v>
      </c>
      <c r="N28" t="s">
        <v>380</v>
      </c>
      <c r="O28"/>
      <c r="P28"/>
      <c r="Q28" s="6"/>
    </row>
    <row r="29" spans="1:17" s="25" customFormat="1" ht="16.5" x14ac:dyDescent="0.3">
      <c r="A29">
        <f t="shared" si="1"/>
        <v>26</v>
      </c>
      <c r="B29" t="s">
        <v>355</v>
      </c>
      <c r="C29"/>
      <c r="D29" t="s">
        <v>374</v>
      </c>
      <c r="E29" t="s">
        <v>381</v>
      </c>
      <c r="F29" t="s">
        <v>24</v>
      </c>
      <c r="G29"/>
      <c r="H29" s="6"/>
      <c r="I29" s="24"/>
      <c r="J29"/>
      <c r="K29" s="24"/>
      <c r="L29"/>
      <c r="M29">
        <v>200</v>
      </c>
      <c r="N29" t="s">
        <v>382</v>
      </c>
      <c r="O29" s="6"/>
      <c r="P29"/>
      <c r="Q29"/>
    </row>
    <row r="30" spans="1:17" s="25" customFormat="1" ht="16.5" x14ac:dyDescent="0.3">
      <c r="A30">
        <f t="shared" si="1"/>
        <v>27</v>
      </c>
      <c r="B30"/>
      <c r="C30"/>
      <c r="D30"/>
      <c r="E30" t="s">
        <v>383</v>
      </c>
      <c r="F30" t="s">
        <v>96</v>
      </c>
      <c r="G30"/>
      <c r="H30"/>
      <c r="I30"/>
      <c r="J30"/>
      <c r="K30"/>
      <c r="L30"/>
      <c r="M30" t="s">
        <v>462</v>
      </c>
      <c r="N30" t="s">
        <v>463</v>
      </c>
      <c r="O30"/>
      <c r="P30"/>
      <c r="Q30"/>
    </row>
    <row r="31" spans="1:17" s="25" customFormat="1" ht="16.5" x14ac:dyDescent="0.3">
      <c r="A31">
        <f t="shared" si="1"/>
        <v>28</v>
      </c>
      <c r="B31"/>
      <c r="C31"/>
      <c r="D31"/>
      <c r="E31" t="s">
        <v>384</v>
      </c>
      <c r="F31" t="s">
        <v>96</v>
      </c>
      <c r="G31"/>
      <c r="H31"/>
      <c r="I31"/>
      <c r="J31"/>
      <c r="K31"/>
      <c r="L31"/>
      <c r="M31" t="s">
        <v>385</v>
      </c>
      <c r="N31" t="s">
        <v>464</v>
      </c>
      <c r="O31"/>
      <c r="P31"/>
      <c r="Q31"/>
    </row>
    <row r="32" spans="1:17" s="25" customFormat="1" ht="16.5" x14ac:dyDescent="0.3">
      <c r="A32">
        <f t="shared" si="1"/>
        <v>29</v>
      </c>
      <c r="B32"/>
      <c r="C32"/>
      <c r="D32"/>
      <c r="E32" t="s">
        <v>386</v>
      </c>
      <c r="F32" t="s">
        <v>96</v>
      </c>
      <c r="G32"/>
      <c r="H32"/>
      <c r="I32"/>
      <c r="J32"/>
      <c r="K32"/>
      <c r="L32"/>
      <c r="M32" t="s">
        <v>465</v>
      </c>
      <c r="N32" t="s">
        <v>466</v>
      </c>
      <c r="O32"/>
      <c r="P32"/>
      <c r="Q32"/>
    </row>
    <row r="33" spans="1:17" s="25" customFormat="1" ht="16.5" x14ac:dyDescent="0.3">
      <c r="A33">
        <f t="shared" si="1"/>
        <v>30</v>
      </c>
      <c r="B33" t="s">
        <v>355</v>
      </c>
      <c r="C33" t="s">
        <v>387</v>
      </c>
      <c r="D33" t="s">
        <v>383</v>
      </c>
      <c r="E33" t="s">
        <v>388</v>
      </c>
      <c r="F33" t="s">
        <v>24</v>
      </c>
      <c r="G33" t="s">
        <v>389</v>
      </c>
      <c r="H33" t="s">
        <v>460</v>
      </c>
      <c r="I33"/>
      <c r="J33"/>
      <c r="K33"/>
      <c r="L33"/>
      <c r="M33">
        <v>250</v>
      </c>
      <c r="N33" t="s">
        <v>467</v>
      </c>
      <c r="O33"/>
      <c r="P33"/>
      <c r="Q33"/>
    </row>
    <row r="34" spans="1:17" s="25" customFormat="1" ht="16.5" x14ac:dyDescent="0.3">
      <c r="A34">
        <f t="shared" si="1"/>
        <v>31</v>
      </c>
      <c r="B34" t="s">
        <v>355</v>
      </c>
      <c r="C34" t="s">
        <v>369</v>
      </c>
      <c r="D34"/>
      <c r="E34" t="s">
        <v>390</v>
      </c>
      <c r="F34" t="s">
        <v>97</v>
      </c>
      <c r="G34" t="s">
        <v>391</v>
      </c>
      <c r="H34" t="s">
        <v>460</v>
      </c>
      <c r="I34"/>
      <c r="J34"/>
      <c r="K34"/>
      <c r="L34"/>
      <c r="M34" t="s">
        <v>392</v>
      </c>
      <c r="N34" t="s">
        <v>393</v>
      </c>
      <c r="O34"/>
      <c r="P34"/>
      <c r="Q34"/>
    </row>
    <row r="35" spans="1:17" s="25" customFormat="1" ht="16.5" x14ac:dyDescent="0.3">
      <c r="A35">
        <f t="shared" si="1"/>
        <v>32</v>
      </c>
      <c r="B35" t="s">
        <v>355</v>
      </c>
      <c r="C35" t="s">
        <v>369</v>
      </c>
      <c r="D35" t="s">
        <v>394</v>
      </c>
      <c r="E35" t="s">
        <v>394</v>
      </c>
      <c r="F35" t="s">
        <v>24</v>
      </c>
      <c r="G35" t="s">
        <v>395</v>
      </c>
      <c r="H35" s="6" t="s">
        <v>461</v>
      </c>
      <c r="I35"/>
      <c r="J35"/>
      <c r="K35"/>
      <c r="L35"/>
      <c r="M35" t="s">
        <v>396</v>
      </c>
      <c r="N35" t="s">
        <v>397</v>
      </c>
      <c r="O35"/>
      <c r="P35"/>
      <c r="Q35"/>
    </row>
    <row r="36" spans="1:17" s="25" customFormat="1" ht="16.5" x14ac:dyDescent="0.3">
      <c r="A36">
        <f t="shared" si="1"/>
        <v>33</v>
      </c>
      <c r="B36"/>
      <c r="C36"/>
      <c r="D36" t="s">
        <v>394</v>
      </c>
      <c r="E36" t="s">
        <v>394</v>
      </c>
      <c r="F36" t="s">
        <v>96</v>
      </c>
      <c r="G36"/>
      <c r="H36" s="6"/>
      <c r="I36"/>
      <c r="J36"/>
      <c r="K36"/>
      <c r="L36"/>
      <c r="M36"/>
      <c r="N36" t="s">
        <v>398</v>
      </c>
      <c r="O36"/>
      <c r="P36"/>
      <c r="Q36"/>
    </row>
    <row r="37" spans="1:17" s="25" customFormat="1" ht="16.5" x14ac:dyDescent="0.3">
      <c r="A37">
        <f t="shared" ref="A37:A53" si="2">ROW()-3</f>
        <v>34</v>
      </c>
      <c r="B37"/>
      <c r="C37"/>
      <c r="D37" t="s">
        <v>399</v>
      </c>
      <c r="E37" t="s">
        <v>468</v>
      </c>
      <c r="F37" t="s">
        <v>96</v>
      </c>
      <c r="G37" t="s">
        <v>400</v>
      </c>
      <c r="H37" s="6"/>
      <c r="I37"/>
      <c r="J37"/>
      <c r="K37"/>
      <c r="L37"/>
      <c r="M37"/>
      <c r="N37" t="s">
        <v>469</v>
      </c>
      <c r="O37"/>
      <c r="P37"/>
      <c r="Q37"/>
    </row>
    <row r="38" spans="1:17" s="25" customFormat="1" ht="30.75" x14ac:dyDescent="0.3">
      <c r="A38">
        <f t="shared" si="2"/>
        <v>35</v>
      </c>
      <c r="B38"/>
      <c r="C38"/>
      <c r="D38" t="s">
        <v>399</v>
      </c>
      <c r="E38" s="24" t="s">
        <v>470</v>
      </c>
      <c r="F38" t="s">
        <v>96</v>
      </c>
      <c r="G38" s="24" t="s">
        <v>401</v>
      </c>
      <c r="H38"/>
      <c r="I38"/>
      <c r="J38"/>
      <c r="K38"/>
      <c r="L38"/>
      <c r="M38"/>
      <c r="N38" t="s">
        <v>471</v>
      </c>
      <c r="O38"/>
      <c r="P38"/>
      <c r="Q38"/>
    </row>
    <row r="39" spans="1:17" s="25" customFormat="1" ht="16.5" x14ac:dyDescent="0.3">
      <c r="A39">
        <f t="shared" si="2"/>
        <v>36</v>
      </c>
      <c r="B39"/>
      <c r="C39"/>
      <c r="D39" t="s">
        <v>399</v>
      </c>
      <c r="E39" t="s">
        <v>402</v>
      </c>
      <c r="F39" t="s">
        <v>96</v>
      </c>
      <c r="G39" t="s">
        <v>403</v>
      </c>
      <c r="H39"/>
      <c r="I39"/>
      <c r="J39"/>
      <c r="K39"/>
      <c r="L39"/>
      <c r="M39"/>
      <c r="N39" t="s">
        <v>472</v>
      </c>
      <c r="O39"/>
      <c r="P39"/>
      <c r="Q39"/>
    </row>
    <row r="40" spans="1:17" s="25" customFormat="1" ht="16.5" x14ac:dyDescent="0.3">
      <c r="A40">
        <f t="shared" si="2"/>
        <v>37</v>
      </c>
      <c r="B40"/>
      <c r="C40"/>
      <c r="D40" t="s">
        <v>399</v>
      </c>
      <c r="E40" s="24" t="s">
        <v>473</v>
      </c>
      <c r="F40" t="s">
        <v>96</v>
      </c>
      <c r="G40" s="24" t="s">
        <v>404</v>
      </c>
      <c r="H40"/>
      <c r="I40"/>
      <c r="J40"/>
      <c r="K40"/>
      <c r="L40"/>
      <c r="M40"/>
      <c r="N40" t="s">
        <v>474</v>
      </c>
      <c r="O40"/>
      <c r="P40"/>
      <c r="Q40"/>
    </row>
    <row r="41" spans="1:17" s="25" customFormat="1" ht="90.75" x14ac:dyDescent="0.3">
      <c r="A41">
        <f t="shared" si="2"/>
        <v>38</v>
      </c>
      <c r="B41" t="s">
        <v>355</v>
      </c>
      <c r="C41" t="s">
        <v>369</v>
      </c>
      <c r="D41" t="s">
        <v>399</v>
      </c>
      <c r="E41" t="s">
        <v>405</v>
      </c>
      <c r="F41" t="s">
        <v>24</v>
      </c>
      <c r="G41" s="24" t="s">
        <v>406</v>
      </c>
      <c r="H41" t="s">
        <v>433</v>
      </c>
      <c r="I41"/>
      <c r="J41"/>
      <c r="K41"/>
      <c r="L41"/>
      <c r="M41"/>
      <c r="N41" t="s">
        <v>475</v>
      </c>
      <c r="O41"/>
      <c r="P41"/>
      <c r="Q41"/>
    </row>
    <row r="42" spans="1:17" s="25" customFormat="1" ht="16.5" x14ac:dyDescent="0.3">
      <c r="A42" s="41">
        <f t="shared" si="2"/>
        <v>39</v>
      </c>
      <c r="B42" t="s">
        <v>355</v>
      </c>
      <c r="C42" t="s">
        <v>365</v>
      </c>
      <c r="D42"/>
      <c r="E42" t="s">
        <v>407</v>
      </c>
      <c r="F42" t="s">
        <v>97</v>
      </c>
      <c r="G42" t="s">
        <v>408</v>
      </c>
      <c r="H42" s="6" t="s">
        <v>461</v>
      </c>
      <c r="I42"/>
      <c r="J42"/>
      <c r="K42" s="24"/>
      <c r="L42"/>
      <c r="M42"/>
      <c r="N42" t="s">
        <v>409</v>
      </c>
      <c r="O42"/>
      <c r="P42" s="6"/>
      <c r="Q42"/>
    </row>
    <row r="43" spans="1:17" s="25" customFormat="1" ht="16.5" x14ac:dyDescent="0.3">
      <c r="A43" s="41">
        <f t="shared" si="2"/>
        <v>40</v>
      </c>
      <c r="B43"/>
      <c r="C43"/>
      <c r="D43" t="s">
        <v>410</v>
      </c>
      <c r="E43" t="s">
        <v>411</v>
      </c>
      <c r="F43" t="s">
        <v>96</v>
      </c>
      <c r="G43" s="24"/>
      <c r="H43" s="6"/>
      <c r="I43"/>
      <c r="J43"/>
      <c r="K43"/>
      <c r="L43"/>
      <c r="M43"/>
      <c r="N43" t="s">
        <v>476</v>
      </c>
      <c r="O43"/>
      <c r="P43"/>
      <c r="Q43" s="6"/>
    </row>
    <row r="44" spans="1:17" s="25" customFormat="1" ht="16.5" x14ac:dyDescent="0.3">
      <c r="A44" s="41">
        <f t="shared" si="2"/>
        <v>41</v>
      </c>
      <c r="B44"/>
      <c r="C44"/>
      <c r="D44" t="s">
        <v>410</v>
      </c>
      <c r="E44" t="s">
        <v>411</v>
      </c>
      <c r="F44" t="s">
        <v>96</v>
      </c>
      <c r="G44"/>
      <c r="H44" s="6"/>
      <c r="I44"/>
      <c r="J44"/>
      <c r="K44"/>
      <c r="L44"/>
      <c r="M44"/>
      <c r="N44"/>
      <c r="O44" s="6"/>
      <c r="P44"/>
      <c r="Q44"/>
    </row>
    <row r="45" spans="1:17" s="25" customFormat="1" ht="16.5" x14ac:dyDescent="0.3">
      <c r="A45" s="41">
        <f t="shared" si="2"/>
        <v>42</v>
      </c>
      <c r="B45"/>
      <c r="C45"/>
      <c r="D45" t="s">
        <v>410</v>
      </c>
      <c r="E45" t="s">
        <v>412</v>
      </c>
      <c r="F45" t="s">
        <v>96</v>
      </c>
      <c r="G45"/>
      <c r="H45"/>
      <c r="I45"/>
      <c r="J45"/>
      <c r="K45"/>
      <c r="L45"/>
      <c r="M45"/>
      <c r="N45" t="s">
        <v>477</v>
      </c>
      <c r="O45"/>
      <c r="P45"/>
      <c r="Q45"/>
    </row>
    <row r="46" spans="1:17" s="25" customFormat="1" ht="16.5" x14ac:dyDescent="0.3">
      <c r="A46" s="41">
        <f t="shared" si="2"/>
        <v>43</v>
      </c>
      <c r="B46"/>
      <c r="C46"/>
      <c r="D46" t="s">
        <v>410</v>
      </c>
      <c r="E46" t="s">
        <v>413</v>
      </c>
      <c r="F46" t="s">
        <v>96</v>
      </c>
      <c r="G46"/>
      <c r="H46"/>
      <c r="I46"/>
      <c r="J46"/>
      <c r="K46"/>
      <c r="L46"/>
      <c r="M46"/>
      <c r="N46" t="s">
        <v>478</v>
      </c>
      <c r="O46"/>
      <c r="P46"/>
      <c r="Q46"/>
    </row>
    <row r="47" spans="1:17" s="25" customFormat="1" ht="16.5" x14ac:dyDescent="0.3">
      <c r="A47" s="41">
        <f t="shared" si="2"/>
        <v>44</v>
      </c>
      <c r="B47" t="s">
        <v>355</v>
      </c>
      <c r="C47" t="s">
        <v>360</v>
      </c>
      <c r="D47" t="s">
        <v>410</v>
      </c>
      <c r="E47" t="s">
        <v>414</v>
      </c>
      <c r="F47" t="s">
        <v>97</v>
      </c>
      <c r="G47" t="s">
        <v>415</v>
      </c>
      <c r="H47" t="s">
        <v>460</v>
      </c>
      <c r="I47"/>
      <c r="J47"/>
      <c r="K47"/>
      <c r="L47"/>
      <c r="M47"/>
      <c r="N47" t="s">
        <v>479</v>
      </c>
      <c r="O47"/>
      <c r="P47"/>
      <c r="Q47"/>
    </row>
    <row r="48" spans="1:17" s="25" customFormat="1" ht="16.5" x14ac:dyDescent="0.3">
      <c r="A48" s="41">
        <f t="shared" si="2"/>
        <v>45</v>
      </c>
      <c r="B48" t="s">
        <v>355</v>
      </c>
      <c r="C48" t="s">
        <v>365</v>
      </c>
      <c r="D48"/>
      <c r="E48" t="s">
        <v>416</v>
      </c>
      <c r="F48" t="s">
        <v>97</v>
      </c>
      <c r="G48"/>
      <c r="H48" t="s">
        <v>430</v>
      </c>
      <c r="I48"/>
      <c r="J48"/>
      <c r="K48"/>
      <c r="L48"/>
      <c r="M48"/>
      <c r="N48"/>
      <c r="O48" s="6"/>
      <c r="P48"/>
      <c r="Q48"/>
    </row>
    <row r="49" spans="1:17" s="25" customFormat="1" ht="165.75" x14ac:dyDescent="0.3">
      <c r="A49" s="41">
        <f t="shared" si="2"/>
        <v>46</v>
      </c>
      <c r="B49" t="s">
        <v>355</v>
      </c>
      <c r="C49" t="s">
        <v>369</v>
      </c>
      <c r="D49"/>
      <c r="E49" t="s">
        <v>417</v>
      </c>
      <c r="F49" t="s">
        <v>24</v>
      </c>
      <c r="G49" s="24" t="s">
        <v>418</v>
      </c>
      <c r="H49" s="6"/>
      <c r="I49"/>
      <c r="J49"/>
      <c r="K49"/>
      <c r="L49"/>
      <c r="M49"/>
      <c r="N49" t="s">
        <v>419</v>
      </c>
      <c r="O49"/>
      <c r="P49" s="6"/>
      <c r="Q49"/>
    </row>
    <row r="50" spans="1:17" s="25" customFormat="1" ht="16.5" x14ac:dyDescent="0.3">
      <c r="A50" s="41">
        <f t="shared" si="2"/>
        <v>47</v>
      </c>
      <c r="B50" t="s">
        <v>355</v>
      </c>
      <c r="C50" t="s">
        <v>369</v>
      </c>
      <c r="D50"/>
      <c r="E50" t="s">
        <v>420</v>
      </c>
      <c r="F50" t="s">
        <v>24</v>
      </c>
      <c r="G50" t="s">
        <v>421</v>
      </c>
      <c r="H50" s="6" t="s">
        <v>431</v>
      </c>
      <c r="I50"/>
      <c r="J50"/>
      <c r="K50"/>
      <c r="L50"/>
      <c r="M50"/>
      <c r="N50" t="s">
        <v>422</v>
      </c>
      <c r="O50"/>
      <c r="P50"/>
      <c r="Q50" s="6"/>
    </row>
    <row r="51" spans="1:17" s="25" customFormat="1" ht="16.5" x14ac:dyDescent="0.3">
      <c r="A51" s="41">
        <f t="shared" si="2"/>
        <v>48</v>
      </c>
      <c r="B51" t="s">
        <v>355</v>
      </c>
      <c r="C51" t="s">
        <v>365</v>
      </c>
      <c r="D51"/>
      <c r="E51" t="s">
        <v>423</v>
      </c>
      <c r="F51" t="s">
        <v>24</v>
      </c>
      <c r="G51"/>
      <c r="H51" s="6" t="s">
        <v>430</v>
      </c>
      <c r="I51"/>
      <c r="J51"/>
      <c r="K51"/>
      <c r="L51"/>
      <c r="M51"/>
      <c r="N51"/>
      <c r="O51"/>
      <c r="P51"/>
      <c r="Q51" s="6"/>
    </row>
    <row r="52" spans="1:17" s="25" customFormat="1" ht="16.5" x14ac:dyDescent="0.3">
      <c r="A52" s="41">
        <f t="shared" si="2"/>
        <v>49</v>
      </c>
      <c r="B52" t="s">
        <v>355</v>
      </c>
      <c r="C52" t="s">
        <v>424</v>
      </c>
      <c r="D52" t="s">
        <v>425</v>
      </c>
      <c r="E52" t="s">
        <v>426</v>
      </c>
      <c r="F52" t="s">
        <v>24</v>
      </c>
      <c r="G52"/>
      <c r="H52" s="6" t="s">
        <v>430</v>
      </c>
      <c r="I52"/>
      <c r="J52"/>
      <c r="K52"/>
      <c r="L52"/>
      <c r="M52"/>
      <c r="N52"/>
      <c r="O52"/>
      <c r="P52"/>
      <c r="Q52" s="6"/>
    </row>
    <row r="53" spans="1:17" s="25" customFormat="1" ht="16.5" x14ac:dyDescent="0.3">
      <c r="A53" s="41">
        <f t="shared" si="2"/>
        <v>50</v>
      </c>
      <c r="B53" t="s">
        <v>355</v>
      </c>
      <c r="C53" t="s">
        <v>360</v>
      </c>
      <c r="D53"/>
      <c r="E53" t="s">
        <v>427</v>
      </c>
      <c r="F53" t="s">
        <v>24</v>
      </c>
      <c r="G53"/>
      <c r="H53" s="6"/>
      <c r="I53"/>
      <c r="J53"/>
      <c r="K53"/>
      <c r="L53"/>
      <c r="M53"/>
      <c r="N53" t="s">
        <v>428</v>
      </c>
      <c r="O53"/>
      <c r="P53"/>
      <c r="Q53" s="6"/>
    </row>
    <row r="54" spans="1:17" s="25" customFormat="1" ht="16.5" x14ac:dyDescent="0.3">
      <c r="A54" s="41">
        <f t="shared" ref="A54:A67" si="3">ROW()-3</f>
        <v>51</v>
      </c>
      <c r="B54"/>
      <c r="C54"/>
      <c r="D54"/>
      <c r="E54"/>
      <c r="F54"/>
      <c r="G54" s="24"/>
      <c r="H54"/>
      <c r="I54"/>
      <c r="J54"/>
      <c r="K54"/>
      <c r="L54"/>
      <c r="M54"/>
      <c r="N54"/>
      <c r="O54" s="6"/>
      <c r="P54"/>
      <c r="Q54"/>
    </row>
    <row r="55" spans="1:17" s="25" customFormat="1" ht="16.5" x14ac:dyDescent="0.3">
      <c r="A55" s="41">
        <f t="shared" si="3"/>
        <v>52</v>
      </c>
      <c r="B55"/>
      <c r="C55"/>
      <c r="D55"/>
      <c r="E55"/>
      <c r="F55"/>
      <c r="G55"/>
      <c r="H55" s="6"/>
      <c r="I55"/>
      <c r="J55"/>
      <c r="K55"/>
      <c r="L55"/>
      <c r="M55"/>
      <c r="N55"/>
      <c r="O55"/>
      <c r="P55"/>
      <c r="Q55"/>
    </row>
    <row r="56" spans="1:17" s="25" customFormat="1" ht="16.5" x14ac:dyDescent="0.3">
      <c r="A56" s="41">
        <f t="shared" si="3"/>
        <v>53</v>
      </c>
      <c r="B56"/>
      <c r="C56"/>
      <c r="D56"/>
      <c r="E56"/>
      <c r="F56"/>
      <c r="G56"/>
      <c r="H56" s="6"/>
      <c r="I56"/>
      <c r="J56"/>
      <c r="K56"/>
      <c r="L56"/>
      <c r="M56"/>
      <c r="N56"/>
      <c r="O56"/>
      <c r="P56"/>
      <c r="Q56"/>
    </row>
    <row r="57" spans="1:17" s="25" customFormat="1" ht="16.5" x14ac:dyDescent="0.3">
      <c r="A57" s="41">
        <f t="shared" si="3"/>
        <v>54</v>
      </c>
      <c r="B57"/>
      <c r="C57"/>
      <c r="D57"/>
      <c r="E57"/>
      <c r="F57"/>
      <c r="G57"/>
      <c r="H57" s="6"/>
      <c r="I57"/>
      <c r="J57"/>
      <c r="K57"/>
      <c r="L57"/>
      <c r="M57"/>
      <c r="N57"/>
      <c r="O57"/>
      <c r="P57"/>
      <c r="Q57"/>
    </row>
    <row r="58" spans="1:17" s="25" customFormat="1" ht="16.5" x14ac:dyDescent="0.3">
      <c r="A58" s="41">
        <f t="shared" si="3"/>
        <v>55</v>
      </c>
      <c r="B58"/>
      <c r="C58"/>
      <c r="D58"/>
      <c r="E58"/>
      <c r="F58"/>
      <c r="G58"/>
      <c r="H58" s="6"/>
      <c r="I58"/>
      <c r="J58"/>
      <c r="K58"/>
      <c r="L58"/>
      <c r="M58"/>
      <c r="N58"/>
      <c r="O58"/>
      <c r="P58"/>
      <c r="Q58"/>
    </row>
    <row r="59" spans="1:17" s="25" customFormat="1" ht="16.5" x14ac:dyDescent="0.3">
      <c r="A59" s="41">
        <f t="shared" si="3"/>
        <v>56</v>
      </c>
      <c r="B59"/>
      <c r="C59"/>
      <c r="D59"/>
      <c r="E59"/>
      <c r="F59"/>
      <c r="G59"/>
      <c r="H59" s="6"/>
      <c r="I59"/>
      <c r="J59"/>
      <c r="K59"/>
      <c r="L59"/>
      <c r="M59"/>
      <c r="N59"/>
      <c r="O59"/>
      <c r="P59"/>
      <c r="Q59"/>
    </row>
    <row r="60" spans="1:17" s="25" customFormat="1" ht="16.5" x14ac:dyDescent="0.3">
      <c r="A60" s="41">
        <f t="shared" si="3"/>
        <v>57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s="25" customFormat="1" ht="16.5" x14ac:dyDescent="0.3">
      <c r="A61" s="41">
        <f t="shared" si="3"/>
        <v>58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s="25" customFormat="1" ht="16.5" x14ac:dyDescent="0.3">
      <c r="A62" s="41">
        <f t="shared" si="3"/>
        <v>59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s="25" customFormat="1" ht="16.5" x14ac:dyDescent="0.3">
      <c r="A63" s="41">
        <f t="shared" si="3"/>
        <v>60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s="25" customFormat="1" ht="16.5" x14ac:dyDescent="0.3">
      <c r="A64" s="41">
        <f t="shared" si="3"/>
        <v>61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s="25" customFormat="1" ht="16.5" x14ac:dyDescent="0.3">
      <c r="A65" s="41">
        <f t="shared" si="3"/>
        <v>62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s="25" customFormat="1" ht="16.5" x14ac:dyDescent="0.3">
      <c r="A66" s="41">
        <f t="shared" si="3"/>
        <v>63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s="25" customFormat="1" ht="16.5" x14ac:dyDescent="0.3">
      <c r="A67" s="41">
        <f t="shared" si="3"/>
        <v>64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s="25" customFormat="1" ht="16.5" x14ac:dyDescent="0.3">
      <c r="A68" s="41">
        <f t="shared" ref="A68:A99" si="4">ROW()-3</f>
        <v>65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s="25" customFormat="1" ht="16.5" x14ac:dyDescent="0.3">
      <c r="A69" s="41">
        <f t="shared" si="4"/>
        <v>66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s="25" customFormat="1" ht="16.5" x14ac:dyDescent="0.3">
      <c r="A70" s="41">
        <f t="shared" si="4"/>
        <v>67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s="25" customFormat="1" ht="16.5" x14ac:dyDescent="0.3">
      <c r="A71" s="41">
        <f t="shared" si="4"/>
        <v>68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s="25" customFormat="1" ht="16.5" x14ac:dyDescent="0.3">
      <c r="A72" s="41">
        <f t="shared" si="4"/>
        <v>69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s="25" customFormat="1" ht="16.5" x14ac:dyDescent="0.3">
      <c r="A73" s="41">
        <f t="shared" si="4"/>
        <v>70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s="25" customFormat="1" ht="16.5" x14ac:dyDescent="0.3">
      <c r="A74" s="41">
        <f t="shared" si="4"/>
        <v>71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s="25" customFormat="1" ht="16.5" x14ac:dyDescent="0.3">
      <c r="A75" s="41">
        <f t="shared" si="4"/>
        <v>72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s="25" customFormat="1" ht="16.5" x14ac:dyDescent="0.3">
      <c r="A76" s="41">
        <f t="shared" si="4"/>
        <v>73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s="25" customFormat="1" ht="16.5" x14ac:dyDescent="0.3">
      <c r="A77" s="41">
        <f t="shared" si="4"/>
        <v>74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s="25" customFormat="1" ht="16.5" x14ac:dyDescent="0.3">
      <c r="A78" s="41">
        <f t="shared" si="4"/>
        <v>75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s="25" customFormat="1" ht="16.5" x14ac:dyDescent="0.3">
      <c r="A79" s="41">
        <f t="shared" si="4"/>
        <v>76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s="25" customFormat="1" ht="16.5" x14ac:dyDescent="0.3">
      <c r="A80" s="41">
        <f t="shared" si="4"/>
        <v>77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s="25" customFormat="1" ht="16.5" x14ac:dyDescent="0.3">
      <c r="A81" s="41">
        <f t="shared" si="4"/>
        <v>78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s="25" customFormat="1" ht="16.5" x14ac:dyDescent="0.3">
      <c r="A82" s="41">
        <f t="shared" si="4"/>
        <v>79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s="25" customFormat="1" ht="16.5" x14ac:dyDescent="0.3">
      <c r="A83" s="41">
        <f t="shared" si="4"/>
        <v>80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s="25" customFormat="1" ht="16.5" x14ac:dyDescent="0.3">
      <c r="A84" s="41">
        <f t="shared" si="4"/>
        <v>81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s="25" customFormat="1" ht="16.5" x14ac:dyDescent="0.3">
      <c r="A85" s="41">
        <f t="shared" si="4"/>
        <v>82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s="25" customFormat="1" ht="16.5" x14ac:dyDescent="0.3">
      <c r="A86" s="41">
        <f t="shared" si="4"/>
        <v>83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s="25" customFormat="1" ht="16.5" x14ac:dyDescent="0.3">
      <c r="A87" s="41">
        <f t="shared" si="4"/>
        <v>84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s="25" customFormat="1" ht="16.5" x14ac:dyDescent="0.3">
      <c r="A88" s="41">
        <f t="shared" si="4"/>
        <v>85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s="25" customFormat="1" ht="16.5" x14ac:dyDescent="0.3">
      <c r="A89" s="41">
        <f t="shared" si="4"/>
        <v>86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 ht="16.5" x14ac:dyDescent="0.3">
      <c r="A90" s="41">
        <f t="shared" si="4"/>
        <v>87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 ht="16.5" x14ac:dyDescent="0.3">
      <c r="A91" s="41">
        <f t="shared" si="4"/>
        <v>88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 ht="16.5" x14ac:dyDescent="0.3">
      <c r="A92" s="41">
        <f t="shared" si="4"/>
        <v>89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 ht="16.5" x14ac:dyDescent="0.3">
      <c r="A93" s="41">
        <f t="shared" si="4"/>
        <v>90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 ht="16.5" x14ac:dyDescent="0.3">
      <c r="A94" s="41">
        <f t="shared" si="4"/>
        <v>91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 ht="16.5" x14ac:dyDescent="0.3">
      <c r="A95" s="41">
        <f t="shared" si="4"/>
        <v>92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 ht="16.5" x14ac:dyDescent="0.3">
      <c r="A96" s="41">
        <f t="shared" si="4"/>
        <v>93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 ht="16.5" x14ac:dyDescent="0.3">
      <c r="A97" s="41">
        <f t="shared" si="4"/>
        <v>94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 ht="16.5" x14ac:dyDescent="0.3">
      <c r="A98" s="41">
        <f t="shared" si="4"/>
        <v>95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 ht="16.5" x14ac:dyDescent="0.3">
      <c r="A99" s="41">
        <f t="shared" si="4"/>
        <v>96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 ht="16.5" x14ac:dyDescent="0.3">
      <c r="A100" s="41">
        <f t="shared" ref="A100:A107" si="5">ROW()-3</f>
        <v>97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 ht="16.5" x14ac:dyDescent="0.3">
      <c r="A101" s="41">
        <f t="shared" si="5"/>
        <v>98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 ht="16.5" x14ac:dyDescent="0.3">
      <c r="A102" s="41">
        <f t="shared" si="5"/>
        <v>99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 ht="16.5" x14ac:dyDescent="0.3">
      <c r="A103" s="41">
        <f t="shared" si="5"/>
        <v>100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 ht="16.5" x14ac:dyDescent="0.3">
      <c r="A104" s="41">
        <f t="shared" si="5"/>
        <v>101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 ht="16.5" x14ac:dyDescent="0.3">
      <c r="A105" s="41">
        <f t="shared" si="5"/>
        <v>102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 ht="16.5" x14ac:dyDescent="0.3">
      <c r="A106" s="41">
        <f t="shared" si="5"/>
        <v>103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 ht="16.5" x14ac:dyDescent="0.3">
      <c r="A107" s="41">
        <f t="shared" si="5"/>
        <v>104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 ht="16.5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 ht="16.5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 ht="16.5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 ht="16.5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 ht="16.5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 ht="16.5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 ht="16.5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 ht="16.5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 ht="16.5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 ht="16.5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 ht="16.5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 ht="16.5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 ht="16.5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 ht="16.5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 ht="16.5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 ht="16.5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 ht="16.5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 ht="16.5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 ht="16.5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 ht="16.5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 ht="16.5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 ht="16.5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 ht="16.5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 ht="16.5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 ht="16.5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 ht="16.5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 ht="16.5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 ht="16.5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 ht="16.5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 ht="16.5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 ht="16.5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 ht="16.5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 ht="16.5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 ht="16.5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 ht="16.5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 ht="16.5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 ht="16.5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 ht="16.5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 ht="16.5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 ht="16.5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 ht="16.5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 ht="16.5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 ht="16.5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 ht="16.5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 ht="16.5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 ht="16.5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 ht="16.5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 ht="16.5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 ht="16.5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 ht="16.5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 ht="16.5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 ht="16.5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 ht="16.5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 ht="16.5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 ht="16.5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 ht="16.5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 ht="16.5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 ht="16.5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 ht="16.5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 ht="16.5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 ht="16.5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 ht="16.5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 ht="16.5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 ht="16.5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 ht="16.5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 ht="16.5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 ht="16.5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 ht="16.5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 ht="16.5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 ht="16.5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 ht="16.5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 ht="16.5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 ht="16.5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 ht="16.5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 ht="16.5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 ht="16.5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 ht="16.5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 ht="16.5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 ht="16.5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 ht="16.5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 ht="16.5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 ht="16.5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 ht="16.5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 ht="16.5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 ht="16.5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 ht="16.5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 ht="16.5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 ht="16.5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 ht="16.5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 ht="16.5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 ht="16.5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 ht="16.5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 ht="16.5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 ht="16.5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 ht="16.5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 ht="16.5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 ht="16.5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 ht="16.5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 ht="16.5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 ht="16.5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 ht="16.5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 ht="16.5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 ht="16.5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 ht="16.5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 ht="16.5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 ht="16.5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 ht="16.5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 ht="16.5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 ht="16.5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 ht="16.5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 ht="16.5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 ht="16.5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 ht="16.5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 ht="16.5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 ht="16.5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 ht="16.5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 ht="16.5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 ht="16.5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 ht="16.5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 ht="16.5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 ht="16.5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 ht="16.5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 ht="16.5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 ht="16.5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 ht="16.5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 ht="16.5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 ht="16.5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 ht="16.5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 ht="16.5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 ht="16.5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 ht="16.5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 ht="16.5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 ht="16.5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 ht="16.5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 ht="16.5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 ht="16.5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 ht="16.5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 ht="16.5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 ht="16.5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 ht="16.5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 ht="16.5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 ht="16.5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 ht="16.5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 ht="16.5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 ht="16.5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 ht="16.5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 ht="16.5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 ht="16.5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 ht="16.5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 ht="16.5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 ht="16.5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 ht="16.5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 ht="16.5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 ht="16.5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 ht="16.5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 ht="16.5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 ht="16.5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 ht="16.5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 ht="16.5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 ht="16.5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 ht="16.5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 ht="16.5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 ht="16.5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 ht="16.5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 ht="16.5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 ht="16.5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 ht="16.5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 ht="16.5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 ht="16.5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 ht="16.5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 ht="16.5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 ht="16.5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 ht="16.5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 ht="16.5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 ht="16.5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 ht="16.5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 ht="16.5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 ht="16.5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 ht="16.5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 ht="16.5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 ht="16.5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 ht="16.5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 ht="16.5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 ht="16.5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 ht="16.5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 ht="16.5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 ht="16.5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 ht="16.5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 ht="16.5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 ht="16.5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 ht="16.5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 ht="16.5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 ht="16.5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 ht="16.5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 ht="16.5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 ht="16.5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 ht="16.5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 ht="16.5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 ht="16.5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 ht="16.5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 ht="16.5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 ht="16.5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 ht="16.5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 ht="16.5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 ht="16.5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x14ac:dyDescent="0.25">
      <c r="E313"/>
      <c r="N313"/>
      <c r="O313"/>
      <c r="P313"/>
      <c r="Q313"/>
    </row>
    <row r="314" spans="1:17" x14ac:dyDescent="0.25">
      <c r="E314"/>
      <c r="N314"/>
      <c r="O314"/>
      <c r="P314"/>
      <c r="Q314"/>
    </row>
    <row r="315" spans="1:17" x14ac:dyDescent="0.25">
      <c r="E315"/>
      <c r="N315"/>
      <c r="O315"/>
      <c r="P315"/>
      <c r="Q315"/>
    </row>
    <row r="316" spans="1:17" x14ac:dyDescent="0.25">
      <c r="E316"/>
      <c r="N316"/>
      <c r="O316"/>
      <c r="P316"/>
      <c r="Q316"/>
    </row>
    <row r="317" spans="1:17" x14ac:dyDescent="0.25">
      <c r="E317"/>
      <c r="N317"/>
      <c r="O317"/>
      <c r="P317"/>
      <c r="Q317"/>
    </row>
    <row r="318" spans="1:17" x14ac:dyDescent="0.25">
      <c r="E318"/>
      <c r="N318"/>
      <c r="O318"/>
      <c r="P318"/>
      <c r="Q318"/>
    </row>
    <row r="319" spans="1:17" x14ac:dyDescent="0.25">
      <c r="E319"/>
      <c r="N319"/>
      <c r="O319"/>
      <c r="P319"/>
      <c r="Q319"/>
    </row>
    <row r="320" spans="1:17" x14ac:dyDescent="0.25">
      <c r="E320"/>
      <c r="N320"/>
      <c r="O320"/>
      <c r="P320"/>
      <c r="Q320"/>
    </row>
    <row r="321" spans="5:17" x14ac:dyDescent="0.25">
      <c r="E321"/>
      <c r="N321"/>
      <c r="O321"/>
      <c r="P321"/>
      <c r="Q321"/>
    </row>
    <row r="322" spans="5:17" x14ac:dyDescent="0.25">
      <c r="E322"/>
      <c r="N322"/>
      <c r="O322"/>
      <c r="P322"/>
      <c r="Q322"/>
    </row>
    <row r="323" spans="5:17" x14ac:dyDescent="0.25">
      <c r="E323"/>
      <c r="N323"/>
      <c r="O323"/>
      <c r="P323"/>
      <c r="Q323"/>
    </row>
    <row r="324" spans="5:17" x14ac:dyDescent="0.25">
      <c r="E324"/>
      <c r="N324"/>
      <c r="O324"/>
      <c r="P324"/>
      <c r="Q324"/>
    </row>
    <row r="325" spans="5:17" x14ac:dyDescent="0.25">
      <c r="E325"/>
      <c r="N325"/>
      <c r="O325"/>
      <c r="P325"/>
      <c r="Q325"/>
    </row>
    <row r="326" spans="5:17" x14ac:dyDescent="0.25">
      <c r="E326"/>
      <c r="N326"/>
      <c r="O326"/>
      <c r="P326"/>
      <c r="Q326"/>
    </row>
    <row r="327" spans="5:17" x14ac:dyDescent="0.25">
      <c r="E327"/>
      <c r="N327"/>
      <c r="O327"/>
      <c r="P327"/>
      <c r="Q327"/>
    </row>
    <row r="328" spans="5:17" x14ac:dyDescent="0.25">
      <c r="E328"/>
      <c r="N328"/>
      <c r="O328"/>
      <c r="P328"/>
      <c r="Q328"/>
    </row>
    <row r="329" spans="5:17" x14ac:dyDescent="0.25">
      <c r="E329"/>
      <c r="N329"/>
      <c r="O329"/>
      <c r="P329"/>
      <c r="Q329"/>
    </row>
    <row r="330" spans="5:17" x14ac:dyDescent="0.25">
      <c r="E330"/>
      <c r="N330"/>
      <c r="O330"/>
      <c r="P330"/>
      <c r="Q330"/>
    </row>
    <row r="331" spans="5:17" x14ac:dyDescent="0.25">
      <c r="E331"/>
      <c r="N331"/>
      <c r="O331"/>
      <c r="P331"/>
      <c r="Q331"/>
    </row>
    <row r="332" spans="5:17" x14ac:dyDescent="0.25">
      <c r="E332"/>
      <c r="N332"/>
      <c r="O332"/>
      <c r="P332"/>
      <c r="Q332"/>
    </row>
    <row r="333" spans="5:17" x14ac:dyDescent="0.25">
      <c r="E333"/>
      <c r="N333"/>
      <c r="O333"/>
      <c r="P333"/>
      <c r="Q333"/>
    </row>
    <row r="334" spans="5:17" x14ac:dyDescent="0.25">
      <c r="E334"/>
      <c r="N334"/>
      <c r="O334"/>
      <c r="P334"/>
      <c r="Q334"/>
    </row>
    <row r="335" spans="5:17" x14ac:dyDescent="0.25">
      <c r="E335"/>
      <c r="N335"/>
      <c r="O335"/>
      <c r="P335"/>
      <c r="Q335"/>
    </row>
    <row r="336" spans="5:17" x14ac:dyDescent="0.25">
      <c r="E336"/>
      <c r="N336"/>
      <c r="O336"/>
      <c r="P336"/>
      <c r="Q336"/>
    </row>
    <row r="337" spans="5:17" x14ac:dyDescent="0.25">
      <c r="E337"/>
      <c r="N337"/>
      <c r="O337"/>
      <c r="P337"/>
      <c r="Q337"/>
    </row>
    <row r="338" spans="5:17" x14ac:dyDescent="0.25">
      <c r="E338"/>
      <c r="N338"/>
      <c r="O338"/>
      <c r="P338"/>
      <c r="Q338"/>
    </row>
    <row r="339" spans="5:17" x14ac:dyDescent="0.25">
      <c r="E339"/>
      <c r="N339"/>
      <c r="O339"/>
      <c r="P339"/>
      <c r="Q339"/>
    </row>
    <row r="340" spans="5:17" x14ac:dyDescent="0.25">
      <c r="E340"/>
      <c r="N340"/>
      <c r="O340"/>
      <c r="P340"/>
      <c r="Q340"/>
    </row>
    <row r="341" spans="5:17" x14ac:dyDescent="0.25">
      <c r="E341"/>
      <c r="N341"/>
      <c r="O341"/>
      <c r="P341"/>
      <c r="Q341"/>
    </row>
    <row r="342" spans="5:17" x14ac:dyDescent="0.25">
      <c r="E342"/>
      <c r="N342"/>
      <c r="O342"/>
      <c r="P342"/>
      <c r="Q342"/>
    </row>
    <row r="343" spans="5:17" x14ac:dyDescent="0.25">
      <c r="E343"/>
      <c r="N343"/>
      <c r="O343"/>
      <c r="P343"/>
      <c r="Q343"/>
    </row>
    <row r="344" spans="5:17" x14ac:dyDescent="0.25">
      <c r="E344"/>
      <c r="N344"/>
      <c r="O344"/>
      <c r="P344"/>
      <c r="Q344"/>
    </row>
    <row r="345" spans="5:17" x14ac:dyDescent="0.25">
      <c r="E345"/>
      <c r="N345"/>
      <c r="O345"/>
      <c r="P345"/>
      <c r="Q345"/>
    </row>
    <row r="346" spans="5:17" x14ac:dyDescent="0.25">
      <c r="E346"/>
      <c r="N346"/>
      <c r="O346"/>
      <c r="P346"/>
      <c r="Q346"/>
    </row>
    <row r="347" spans="5:17" x14ac:dyDescent="0.25">
      <c r="E347"/>
      <c r="N347"/>
      <c r="O347"/>
      <c r="P347"/>
      <c r="Q347"/>
    </row>
    <row r="348" spans="5:17" x14ac:dyDescent="0.25">
      <c r="E348"/>
      <c r="N348"/>
      <c r="O348"/>
      <c r="P348"/>
      <c r="Q348"/>
    </row>
    <row r="349" spans="5:17" x14ac:dyDescent="0.25">
      <c r="E349"/>
      <c r="N349"/>
      <c r="O349"/>
      <c r="P349"/>
      <c r="Q349"/>
    </row>
    <row r="350" spans="5:17" x14ac:dyDescent="0.25">
      <c r="E350"/>
      <c r="N350"/>
      <c r="O350"/>
      <c r="P350"/>
      <c r="Q350"/>
    </row>
    <row r="351" spans="5:17" x14ac:dyDescent="0.25">
      <c r="E351"/>
      <c r="N351"/>
      <c r="O351"/>
      <c r="P351"/>
      <c r="Q351"/>
    </row>
    <row r="352" spans="5:17" x14ac:dyDescent="0.25">
      <c r="E352"/>
      <c r="N352"/>
      <c r="O352"/>
      <c r="P352"/>
      <c r="Q352"/>
    </row>
    <row r="353" spans="5:17" x14ac:dyDescent="0.25">
      <c r="E353"/>
      <c r="N353"/>
      <c r="O353"/>
      <c r="P353"/>
      <c r="Q353"/>
    </row>
    <row r="354" spans="5:17" x14ac:dyDescent="0.25">
      <c r="E354"/>
      <c r="N354"/>
      <c r="O354"/>
      <c r="P354"/>
      <c r="Q354"/>
    </row>
    <row r="355" spans="5:17" x14ac:dyDescent="0.25">
      <c r="E355"/>
      <c r="N355"/>
      <c r="O355"/>
      <c r="P355"/>
      <c r="Q355"/>
    </row>
    <row r="356" spans="5:17" x14ac:dyDescent="0.25">
      <c r="E356"/>
      <c r="N356"/>
      <c r="O356"/>
      <c r="P356"/>
      <c r="Q356"/>
    </row>
    <row r="357" spans="5:17" x14ac:dyDescent="0.25">
      <c r="E357"/>
      <c r="N357"/>
      <c r="O357"/>
      <c r="P357"/>
      <c r="Q357"/>
    </row>
    <row r="358" spans="5:17" x14ac:dyDescent="0.25">
      <c r="E358"/>
      <c r="N358"/>
      <c r="O358"/>
      <c r="P358"/>
      <c r="Q358"/>
    </row>
    <row r="359" spans="5:17" x14ac:dyDescent="0.25">
      <c r="E359"/>
      <c r="N359"/>
      <c r="O359"/>
      <c r="P359"/>
      <c r="Q359"/>
    </row>
    <row r="360" spans="5:17" x14ac:dyDescent="0.25">
      <c r="E360"/>
      <c r="N360"/>
      <c r="O360"/>
      <c r="P360"/>
      <c r="Q360"/>
    </row>
    <row r="361" spans="5:17" x14ac:dyDescent="0.25">
      <c r="E361"/>
      <c r="N361"/>
      <c r="O361"/>
      <c r="P361"/>
      <c r="Q361"/>
    </row>
    <row r="362" spans="5:17" x14ac:dyDescent="0.25">
      <c r="E362"/>
      <c r="N362"/>
      <c r="O362"/>
      <c r="P362"/>
      <c r="Q362"/>
    </row>
    <row r="363" spans="5:17" x14ac:dyDescent="0.25">
      <c r="E363"/>
      <c r="N363"/>
      <c r="O363"/>
      <c r="P363"/>
      <c r="Q363"/>
    </row>
    <row r="364" spans="5:17" x14ac:dyDescent="0.25">
      <c r="E364"/>
      <c r="N364"/>
      <c r="O364"/>
      <c r="P364"/>
      <c r="Q364"/>
    </row>
    <row r="365" spans="5:17" x14ac:dyDescent="0.25">
      <c r="E365"/>
      <c r="N365"/>
      <c r="O365"/>
      <c r="P365"/>
      <c r="Q365"/>
    </row>
    <row r="366" spans="5:17" x14ac:dyDescent="0.25">
      <c r="E366"/>
      <c r="N366"/>
      <c r="O366"/>
      <c r="P366"/>
      <c r="Q366"/>
    </row>
    <row r="367" spans="5:17" x14ac:dyDescent="0.25">
      <c r="E367"/>
      <c r="N367"/>
      <c r="O367"/>
      <c r="P367"/>
      <c r="Q367"/>
    </row>
    <row r="368" spans="5:17" x14ac:dyDescent="0.25">
      <c r="E368"/>
      <c r="N368"/>
      <c r="O368"/>
      <c r="P368"/>
      <c r="Q368"/>
    </row>
    <row r="369" spans="5:17" x14ac:dyDescent="0.25">
      <c r="E369"/>
      <c r="N369"/>
      <c r="O369"/>
      <c r="P369"/>
      <c r="Q369"/>
    </row>
    <row r="370" spans="5:17" x14ac:dyDescent="0.25">
      <c r="E370"/>
      <c r="N370"/>
      <c r="O370"/>
      <c r="P370"/>
      <c r="Q370"/>
    </row>
    <row r="371" spans="5:17" x14ac:dyDescent="0.25">
      <c r="E371"/>
      <c r="N371"/>
      <c r="O371"/>
      <c r="P371"/>
      <c r="Q371"/>
    </row>
    <row r="372" spans="5:17" x14ac:dyDescent="0.25">
      <c r="E372"/>
      <c r="N372"/>
      <c r="O372"/>
      <c r="P372"/>
      <c r="Q372"/>
    </row>
    <row r="373" spans="5:17" x14ac:dyDescent="0.25">
      <c r="E373"/>
      <c r="N373"/>
      <c r="O373"/>
      <c r="P373"/>
      <c r="Q373"/>
    </row>
    <row r="374" spans="5:17" x14ac:dyDescent="0.25">
      <c r="E374"/>
      <c r="N374"/>
      <c r="O374"/>
      <c r="P374"/>
      <c r="Q374"/>
    </row>
    <row r="375" spans="5:17" x14ac:dyDescent="0.25">
      <c r="E375"/>
      <c r="N375"/>
      <c r="O375"/>
      <c r="P375"/>
      <c r="Q375"/>
    </row>
    <row r="376" spans="5:17" x14ac:dyDescent="0.25">
      <c r="E376"/>
      <c r="N376"/>
      <c r="O376"/>
      <c r="P376"/>
      <c r="Q376"/>
    </row>
    <row r="377" spans="5:17" x14ac:dyDescent="0.25">
      <c r="E377"/>
      <c r="N377"/>
      <c r="O377"/>
      <c r="P377"/>
      <c r="Q377"/>
    </row>
    <row r="378" spans="5:17" x14ac:dyDescent="0.25">
      <c r="E378"/>
      <c r="N378"/>
      <c r="O378"/>
      <c r="P378"/>
      <c r="Q378"/>
    </row>
    <row r="379" spans="5:17" x14ac:dyDescent="0.25">
      <c r="E379"/>
      <c r="N379"/>
      <c r="O379"/>
      <c r="P379"/>
      <c r="Q379"/>
    </row>
    <row r="380" spans="5:17" x14ac:dyDescent="0.25">
      <c r="E380"/>
      <c r="N380"/>
      <c r="O380"/>
      <c r="P380"/>
      <c r="Q380"/>
    </row>
    <row r="381" spans="5:17" x14ac:dyDescent="0.25">
      <c r="E381"/>
      <c r="N381"/>
      <c r="O381"/>
      <c r="P381"/>
      <c r="Q381"/>
    </row>
    <row r="382" spans="5:17" x14ac:dyDescent="0.25">
      <c r="E382"/>
      <c r="N382"/>
      <c r="O382"/>
      <c r="P382"/>
      <c r="Q382"/>
    </row>
    <row r="383" spans="5:17" x14ac:dyDescent="0.25">
      <c r="E383"/>
      <c r="N383"/>
      <c r="O383"/>
      <c r="P383"/>
      <c r="Q383"/>
    </row>
    <row r="384" spans="5:17" x14ac:dyDescent="0.25">
      <c r="E384"/>
      <c r="N384"/>
      <c r="O384"/>
      <c r="P384"/>
      <c r="Q384"/>
    </row>
    <row r="385" spans="5:17" x14ac:dyDescent="0.25">
      <c r="E385"/>
      <c r="N385"/>
      <c r="O385"/>
      <c r="P385"/>
      <c r="Q385"/>
    </row>
    <row r="386" spans="5:17" x14ac:dyDescent="0.25">
      <c r="E386"/>
      <c r="N386"/>
      <c r="O386"/>
      <c r="P386"/>
      <c r="Q386"/>
    </row>
    <row r="387" spans="5:17" x14ac:dyDescent="0.25">
      <c r="E387"/>
      <c r="N387"/>
      <c r="O387"/>
      <c r="P387"/>
      <c r="Q387"/>
    </row>
    <row r="388" spans="5:17" x14ac:dyDescent="0.25">
      <c r="E388"/>
      <c r="N388"/>
      <c r="O388"/>
      <c r="P388"/>
      <c r="Q388"/>
    </row>
    <row r="389" spans="5:17" x14ac:dyDescent="0.25">
      <c r="E389"/>
      <c r="N389"/>
      <c r="O389"/>
      <c r="P389"/>
      <c r="Q389"/>
    </row>
    <row r="390" spans="5:17" x14ac:dyDescent="0.25">
      <c r="E390"/>
      <c r="N390"/>
      <c r="O390"/>
      <c r="P390"/>
      <c r="Q390"/>
    </row>
    <row r="391" spans="5:17" x14ac:dyDescent="0.25">
      <c r="E391"/>
      <c r="N391"/>
      <c r="O391"/>
      <c r="P391"/>
      <c r="Q391"/>
    </row>
    <row r="392" spans="5:17" x14ac:dyDescent="0.25">
      <c r="E392"/>
      <c r="N392"/>
      <c r="O392"/>
      <c r="P392"/>
      <c r="Q392"/>
    </row>
    <row r="393" spans="5:17" x14ac:dyDescent="0.25">
      <c r="E393"/>
      <c r="N393"/>
      <c r="O393"/>
      <c r="P393"/>
      <c r="Q393"/>
    </row>
    <row r="394" spans="5:17" x14ac:dyDescent="0.25">
      <c r="E394"/>
      <c r="N394"/>
      <c r="O394"/>
      <c r="P394"/>
      <c r="Q394"/>
    </row>
    <row r="395" spans="5:17" x14ac:dyDescent="0.25">
      <c r="E395"/>
      <c r="N395"/>
      <c r="O395"/>
      <c r="P395"/>
      <c r="Q395"/>
    </row>
    <row r="396" spans="5:17" x14ac:dyDescent="0.25">
      <c r="E396"/>
      <c r="N396"/>
      <c r="O396"/>
      <c r="P396"/>
      <c r="Q396"/>
    </row>
    <row r="397" spans="5:17" x14ac:dyDescent="0.25">
      <c r="E397"/>
      <c r="N397"/>
      <c r="O397"/>
      <c r="P397"/>
      <c r="Q397"/>
    </row>
    <row r="398" spans="5:17" x14ac:dyDescent="0.25">
      <c r="E398"/>
      <c r="N398"/>
      <c r="O398"/>
      <c r="P398"/>
      <c r="Q398"/>
    </row>
    <row r="399" spans="5:17" x14ac:dyDescent="0.25">
      <c r="E399"/>
      <c r="N399"/>
      <c r="O399"/>
      <c r="P399"/>
      <c r="Q399"/>
    </row>
    <row r="400" spans="5:17" x14ac:dyDescent="0.25">
      <c r="E400"/>
      <c r="N400"/>
      <c r="O400"/>
      <c r="P400"/>
      <c r="Q400"/>
    </row>
    <row r="401" spans="5:17" x14ac:dyDescent="0.25">
      <c r="E401"/>
      <c r="N401"/>
      <c r="O401"/>
      <c r="P401"/>
      <c r="Q401"/>
    </row>
    <row r="402" spans="5:17" x14ac:dyDescent="0.25">
      <c r="E402"/>
      <c r="N402"/>
      <c r="O402"/>
      <c r="P402"/>
      <c r="Q402"/>
    </row>
    <row r="403" spans="5:17" x14ac:dyDescent="0.25">
      <c r="E403"/>
      <c r="N403"/>
      <c r="O403"/>
      <c r="P403"/>
      <c r="Q403"/>
    </row>
    <row r="404" spans="5:17" x14ac:dyDescent="0.25">
      <c r="E404"/>
      <c r="N404"/>
      <c r="O404"/>
      <c r="P404"/>
      <c r="Q404"/>
    </row>
    <row r="405" spans="5:17" x14ac:dyDescent="0.25">
      <c r="E405"/>
      <c r="N405"/>
      <c r="O405"/>
      <c r="P405"/>
      <c r="Q405"/>
    </row>
    <row r="406" spans="5:17" x14ac:dyDescent="0.25">
      <c r="E406"/>
      <c r="N406"/>
      <c r="O406"/>
      <c r="P406"/>
      <c r="Q406"/>
    </row>
    <row r="407" spans="5:17" x14ac:dyDescent="0.25">
      <c r="E407"/>
      <c r="N407"/>
      <c r="O407"/>
      <c r="P407"/>
      <c r="Q407"/>
    </row>
    <row r="408" spans="5:17" x14ac:dyDescent="0.25">
      <c r="E408"/>
      <c r="N408"/>
      <c r="O408"/>
      <c r="P408"/>
      <c r="Q408"/>
    </row>
    <row r="409" spans="5:17" x14ac:dyDescent="0.25">
      <c r="E409"/>
      <c r="N409"/>
      <c r="O409"/>
      <c r="P409"/>
      <c r="Q409"/>
    </row>
    <row r="410" spans="5:17" x14ac:dyDescent="0.25">
      <c r="E410"/>
      <c r="N410"/>
      <c r="O410"/>
      <c r="P410"/>
      <c r="Q410"/>
    </row>
    <row r="411" spans="5:17" x14ac:dyDescent="0.25">
      <c r="E411"/>
      <c r="N411"/>
      <c r="O411"/>
      <c r="P411"/>
      <c r="Q411"/>
    </row>
    <row r="412" spans="5:17" x14ac:dyDescent="0.25">
      <c r="E412"/>
      <c r="N412"/>
      <c r="O412"/>
      <c r="P412"/>
      <c r="Q412"/>
    </row>
    <row r="413" spans="5:17" x14ac:dyDescent="0.25">
      <c r="E413"/>
      <c r="N413"/>
      <c r="O413"/>
      <c r="P413"/>
      <c r="Q413"/>
    </row>
    <row r="414" spans="5:17" x14ac:dyDescent="0.25">
      <c r="E414"/>
      <c r="N414"/>
      <c r="O414"/>
      <c r="P414"/>
      <c r="Q414"/>
    </row>
    <row r="415" spans="5:17" x14ac:dyDescent="0.25">
      <c r="E415"/>
      <c r="N415"/>
      <c r="O415"/>
      <c r="P415"/>
      <c r="Q415"/>
    </row>
    <row r="416" spans="5:17" x14ac:dyDescent="0.25">
      <c r="E416"/>
      <c r="N416"/>
      <c r="O416"/>
      <c r="P416"/>
      <c r="Q416"/>
    </row>
    <row r="417" spans="5:17" x14ac:dyDescent="0.25">
      <c r="E417"/>
      <c r="N417"/>
      <c r="O417"/>
      <c r="P417"/>
      <c r="Q417"/>
    </row>
    <row r="418" spans="5:17" x14ac:dyDescent="0.25">
      <c r="E418"/>
      <c r="N418"/>
      <c r="O418"/>
      <c r="P418"/>
      <c r="Q418"/>
    </row>
    <row r="419" spans="5:17" x14ac:dyDescent="0.25">
      <c r="E419"/>
      <c r="N419"/>
      <c r="O419"/>
      <c r="P419"/>
      <c r="Q419"/>
    </row>
    <row r="420" spans="5:17" x14ac:dyDescent="0.25">
      <c r="E420"/>
      <c r="N420"/>
      <c r="O420"/>
      <c r="P420"/>
      <c r="Q420"/>
    </row>
    <row r="421" spans="5:17" x14ac:dyDescent="0.25">
      <c r="E421"/>
      <c r="N421"/>
      <c r="O421"/>
      <c r="P421"/>
      <c r="Q421"/>
    </row>
    <row r="422" spans="5:17" x14ac:dyDescent="0.25">
      <c r="E422"/>
      <c r="N422"/>
      <c r="O422"/>
      <c r="P422"/>
      <c r="Q422"/>
    </row>
    <row r="423" spans="5:17" x14ac:dyDescent="0.25">
      <c r="E423"/>
      <c r="N423"/>
      <c r="O423"/>
      <c r="P423"/>
      <c r="Q423"/>
    </row>
    <row r="424" spans="5:17" x14ac:dyDescent="0.25">
      <c r="E424"/>
      <c r="N424"/>
      <c r="O424"/>
      <c r="P424"/>
      <c r="Q424"/>
    </row>
    <row r="425" spans="5:17" x14ac:dyDescent="0.25">
      <c r="E425"/>
      <c r="N425"/>
      <c r="O425"/>
      <c r="P425"/>
      <c r="Q425"/>
    </row>
    <row r="426" spans="5:17" x14ac:dyDescent="0.25">
      <c r="E426"/>
      <c r="N426"/>
      <c r="O426"/>
      <c r="P426"/>
      <c r="Q426"/>
    </row>
    <row r="427" spans="5:17" x14ac:dyDescent="0.25">
      <c r="E427"/>
      <c r="N427"/>
      <c r="O427"/>
      <c r="P427"/>
      <c r="Q427"/>
    </row>
    <row r="428" spans="5:17" x14ac:dyDescent="0.25">
      <c r="E428"/>
      <c r="N428"/>
      <c r="O428"/>
      <c r="P428"/>
      <c r="Q428"/>
    </row>
    <row r="429" spans="5:17" x14ac:dyDescent="0.25">
      <c r="E429"/>
      <c r="N429"/>
      <c r="O429"/>
      <c r="P429"/>
      <c r="Q429"/>
    </row>
    <row r="430" spans="5:17" x14ac:dyDescent="0.25">
      <c r="E430"/>
      <c r="N430"/>
      <c r="O430"/>
      <c r="P430"/>
      <c r="Q430"/>
    </row>
    <row r="431" spans="5:17" x14ac:dyDescent="0.25">
      <c r="E431"/>
      <c r="N431"/>
      <c r="O431"/>
      <c r="P431"/>
      <c r="Q431"/>
    </row>
    <row r="432" spans="5:17" x14ac:dyDescent="0.25">
      <c r="E432"/>
      <c r="N432"/>
      <c r="O432"/>
      <c r="P432"/>
      <c r="Q432"/>
    </row>
    <row r="433" spans="5:17" x14ac:dyDescent="0.25">
      <c r="E433"/>
      <c r="N433"/>
      <c r="O433"/>
      <c r="P433"/>
      <c r="Q433"/>
    </row>
    <row r="434" spans="5:17" x14ac:dyDescent="0.25">
      <c r="E434"/>
      <c r="N434"/>
      <c r="O434"/>
      <c r="P434"/>
      <c r="Q434"/>
    </row>
    <row r="435" spans="5:17" x14ac:dyDescent="0.25">
      <c r="E435"/>
      <c r="N435"/>
      <c r="O435"/>
      <c r="P435"/>
      <c r="Q435"/>
    </row>
    <row r="436" spans="5:17" x14ac:dyDescent="0.25">
      <c r="E436"/>
      <c r="N436"/>
      <c r="O436"/>
      <c r="P436"/>
      <c r="Q436"/>
    </row>
    <row r="437" spans="5:17" x14ac:dyDescent="0.25">
      <c r="E437"/>
      <c r="N437"/>
      <c r="O437"/>
      <c r="P437"/>
      <c r="Q437"/>
    </row>
    <row r="438" spans="5:17" x14ac:dyDescent="0.25">
      <c r="E438"/>
      <c r="N438"/>
      <c r="O438"/>
      <c r="P438"/>
      <c r="Q438"/>
    </row>
    <row r="439" spans="5:17" x14ac:dyDescent="0.25">
      <c r="E439"/>
      <c r="N439"/>
      <c r="O439"/>
      <c r="P439"/>
      <c r="Q439"/>
    </row>
    <row r="440" spans="5:17" x14ac:dyDescent="0.25">
      <c r="E440"/>
      <c r="N440"/>
      <c r="O440"/>
      <c r="P440"/>
      <c r="Q440"/>
    </row>
    <row r="441" spans="5:17" x14ac:dyDescent="0.25">
      <c r="E441"/>
      <c r="N441"/>
      <c r="O441"/>
      <c r="P441"/>
      <c r="Q441"/>
    </row>
    <row r="442" spans="5:17" x14ac:dyDescent="0.25">
      <c r="E442"/>
      <c r="N442"/>
      <c r="O442"/>
      <c r="P442"/>
      <c r="Q442"/>
    </row>
    <row r="443" spans="5:17" x14ac:dyDescent="0.25">
      <c r="E443"/>
      <c r="N443"/>
      <c r="O443"/>
      <c r="P443"/>
      <c r="Q443"/>
    </row>
    <row r="444" spans="5:17" x14ac:dyDescent="0.25">
      <c r="E444"/>
      <c r="N444"/>
      <c r="O444"/>
      <c r="P444"/>
      <c r="Q444"/>
    </row>
    <row r="445" spans="5:17" x14ac:dyDescent="0.25">
      <c r="E445"/>
      <c r="N445"/>
      <c r="O445"/>
      <c r="P445"/>
      <c r="Q445"/>
    </row>
    <row r="446" spans="5:17" x14ac:dyDescent="0.25">
      <c r="E446"/>
      <c r="N446"/>
      <c r="O446"/>
      <c r="P446"/>
      <c r="Q446"/>
    </row>
    <row r="447" spans="5:17" x14ac:dyDescent="0.25">
      <c r="E447"/>
      <c r="N447"/>
      <c r="O447"/>
      <c r="P447"/>
      <c r="Q447"/>
    </row>
    <row r="448" spans="5:17" x14ac:dyDescent="0.25">
      <c r="E448"/>
      <c r="N448"/>
      <c r="O448"/>
      <c r="P448"/>
      <c r="Q448"/>
    </row>
    <row r="449" spans="5:17" x14ac:dyDescent="0.25">
      <c r="E449"/>
      <c r="N449"/>
      <c r="O449"/>
      <c r="P449"/>
      <c r="Q449"/>
    </row>
    <row r="450" spans="5:17" x14ac:dyDescent="0.25">
      <c r="E450"/>
      <c r="N450"/>
      <c r="O450"/>
      <c r="P450"/>
      <c r="Q450"/>
    </row>
    <row r="451" spans="5:17" x14ac:dyDescent="0.25">
      <c r="E451"/>
      <c r="N451"/>
      <c r="O451"/>
      <c r="P451"/>
      <c r="Q451"/>
    </row>
    <row r="452" spans="5:17" x14ac:dyDescent="0.25">
      <c r="E452"/>
      <c r="N452"/>
      <c r="O452"/>
      <c r="P452"/>
      <c r="Q452"/>
    </row>
    <row r="453" spans="5:17" x14ac:dyDescent="0.25">
      <c r="E453"/>
      <c r="N453"/>
      <c r="O453"/>
      <c r="P453"/>
      <c r="Q453"/>
    </row>
    <row r="454" spans="5:17" x14ac:dyDescent="0.25">
      <c r="E454"/>
      <c r="N454"/>
      <c r="O454"/>
      <c r="P454"/>
      <c r="Q454"/>
    </row>
    <row r="455" spans="5:17" x14ac:dyDescent="0.25">
      <c r="E455"/>
      <c r="N455"/>
      <c r="O455"/>
      <c r="P455"/>
      <c r="Q455"/>
    </row>
    <row r="456" spans="5:17" x14ac:dyDescent="0.25">
      <c r="E456"/>
      <c r="N456"/>
      <c r="O456"/>
      <c r="P456"/>
      <c r="Q456"/>
    </row>
    <row r="457" spans="5:17" x14ac:dyDescent="0.25">
      <c r="E457"/>
      <c r="N457"/>
      <c r="O457"/>
      <c r="P457"/>
      <c r="Q457"/>
    </row>
    <row r="458" spans="5:17" x14ac:dyDescent="0.25">
      <c r="E458"/>
      <c r="N458"/>
      <c r="O458"/>
      <c r="P458"/>
      <c r="Q458"/>
    </row>
    <row r="459" spans="5:17" x14ac:dyDescent="0.25">
      <c r="E459"/>
      <c r="N459"/>
      <c r="O459"/>
      <c r="P459"/>
      <c r="Q459"/>
    </row>
    <row r="460" spans="5:17" x14ac:dyDescent="0.25">
      <c r="E460"/>
      <c r="N460"/>
      <c r="O460"/>
      <c r="P460"/>
      <c r="Q460"/>
    </row>
    <row r="461" spans="5:17" x14ac:dyDescent="0.25">
      <c r="E461"/>
      <c r="N461"/>
      <c r="O461"/>
      <c r="P461"/>
      <c r="Q461"/>
    </row>
    <row r="462" spans="5:17" x14ac:dyDescent="0.25">
      <c r="E462"/>
      <c r="N462"/>
      <c r="O462"/>
      <c r="P462"/>
      <c r="Q462"/>
    </row>
    <row r="463" spans="5:17" x14ac:dyDescent="0.25">
      <c r="E463"/>
      <c r="N463"/>
      <c r="O463"/>
      <c r="P463"/>
      <c r="Q463"/>
    </row>
    <row r="464" spans="5:17" x14ac:dyDescent="0.25">
      <c r="E464"/>
      <c r="N464"/>
      <c r="O464"/>
      <c r="P464"/>
      <c r="Q464"/>
    </row>
    <row r="465" spans="5:17" x14ac:dyDescent="0.25">
      <c r="E465"/>
      <c r="N465"/>
      <c r="O465"/>
      <c r="P465"/>
      <c r="Q465"/>
    </row>
    <row r="466" spans="5:17" x14ac:dyDescent="0.25">
      <c r="E466"/>
      <c r="N466"/>
      <c r="O466"/>
      <c r="P466"/>
      <c r="Q466"/>
    </row>
    <row r="467" spans="5:17" x14ac:dyDescent="0.25">
      <c r="E467"/>
      <c r="N467"/>
      <c r="O467"/>
      <c r="P467"/>
      <c r="Q467"/>
    </row>
    <row r="468" spans="5:17" x14ac:dyDescent="0.25">
      <c r="E468"/>
      <c r="N468"/>
      <c r="O468"/>
      <c r="P468"/>
      <c r="Q468"/>
    </row>
    <row r="469" spans="5:17" x14ac:dyDescent="0.25">
      <c r="E469"/>
      <c r="N469"/>
      <c r="O469"/>
      <c r="P469"/>
      <c r="Q469"/>
    </row>
    <row r="470" spans="5:17" x14ac:dyDescent="0.25">
      <c r="E470"/>
      <c r="N470"/>
      <c r="O470"/>
      <c r="P470"/>
      <c r="Q470"/>
    </row>
    <row r="471" spans="5:17" x14ac:dyDescent="0.25">
      <c r="E471"/>
      <c r="N471"/>
      <c r="O471"/>
      <c r="P471"/>
      <c r="Q471"/>
    </row>
    <row r="472" spans="5:17" x14ac:dyDescent="0.25">
      <c r="E472"/>
      <c r="N472"/>
      <c r="O472"/>
      <c r="P472"/>
      <c r="Q472"/>
    </row>
    <row r="473" spans="5:17" x14ac:dyDescent="0.25">
      <c r="E473"/>
      <c r="N473"/>
      <c r="O473"/>
      <c r="P473"/>
      <c r="Q473"/>
    </row>
    <row r="474" spans="5:17" x14ac:dyDescent="0.25">
      <c r="E474"/>
      <c r="N474"/>
      <c r="O474"/>
      <c r="P474"/>
      <c r="Q474"/>
    </row>
    <row r="475" spans="5:17" x14ac:dyDescent="0.25">
      <c r="E475"/>
      <c r="N475"/>
      <c r="O475"/>
      <c r="P475"/>
      <c r="Q475"/>
    </row>
    <row r="476" spans="5:17" x14ac:dyDescent="0.25">
      <c r="E476"/>
      <c r="N476"/>
      <c r="O476"/>
      <c r="P476"/>
      <c r="Q476"/>
    </row>
    <row r="477" spans="5:17" x14ac:dyDescent="0.25">
      <c r="E477"/>
      <c r="N477"/>
      <c r="O477"/>
      <c r="P477"/>
      <c r="Q477"/>
    </row>
    <row r="478" spans="5:17" x14ac:dyDescent="0.25">
      <c r="E478"/>
      <c r="N478"/>
      <c r="O478"/>
      <c r="P478"/>
      <c r="Q478"/>
    </row>
    <row r="479" spans="5:17" x14ac:dyDescent="0.25">
      <c r="E479"/>
      <c r="N479"/>
      <c r="O479"/>
      <c r="P479"/>
      <c r="Q479"/>
    </row>
    <row r="480" spans="5:17" x14ac:dyDescent="0.25">
      <c r="E480"/>
      <c r="N480"/>
      <c r="O480"/>
      <c r="P480"/>
      <c r="Q480"/>
    </row>
    <row r="481" spans="5:17" x14ac:dyDescent="0.25">
      <c r="E481"/>
      <c r="N481"/>
      <c r="O481"/>
      <c r="P481"/>
      <c r="Q481"/>
    </row>
    <row r="482" spans="5:17" x14ac:dyDescent="0.25">
      <c r="E482"/>
      <c r="N482"/>
      <c r="O482"/>
      <c r="P482"/>
      <c r="Q482"/>
    </row>
    <row r="483" spans="5:17" x14ac:dyDescent="0.25">
      <c r="E483"/>
      <c r="N483"/>
      <c r="O483"/>
      <c r="P483"/>
      <c r="Q483"/>
    </row>
    <row r="484" spans="5:17" x14ac:dyDescent="0.25">
      <c r="E484"/>
      <c r="N484"/>
      <c r="O484"/>
      <c r="P484"/>
      <c r="Q484"/>
    </row>
    <row r="485" spans="5:17" x14ac:dyDescent="0.25">
      <c r="E485"/>
      <c r="N485"/>
      <c r="O485"/>
      <c r="P485"/>
      <c r="Q485"/>
    </row>
    <row r="486" spans="5:17" x14ac:dyDescent="0.25">
      <c r="E486"/>
      <c r="N486"/>
      <c r="O486"/>
      <c r="P486"/>
      <c r="Q486"/>
    </row>
    <row r="487" spans="5:17" x14ac:dyDescent="0.25">
      <c r="E487"/>
      <c r="N487"/>
      <c r="O487"/>
      <c r="P487"/>
      <c r="Q487"/>
    </row>
    <row r="488" spans="5:17" x14ac:dyDescent="0.25">
      <c r="E488"/>
      <c r="N488"/>
      <c r="O488"/>
      <c r="P488"/>
      <c r="Q488"/>
    </row>
    <row r="489" spans="5:17" x14ac:dyDescent="0.25">
      <c r="E489"/>
      <c r="N489"/>
      <c r="O489"/>
      <c r="P489"/>
      <c r="Q489"/>
    </row>
    <row r="490" spans="5:17" x14ac:dyDescent="0.25">
      <c r="E490"/>
      <c r="N490"/>
      <c r="O490"/>
      <c r="P490"/>
      <c r="Q490"/>
    </row>
    <row r="491" spans="5:17" x14ac:dyDescent="0.25">
      <c r="E491"/>
      <c r="N491"/>
      <c r="O491"/>
      <c r="P491"/>
      <c r="Q491"/>
    </row>
    <row r="492" spans="5:17" x14ac:dyDescent="0.25">
      <c r="E492"/>
      <c r="N492"/>
      <c r="O492"/>
      <c r="P492"/>
      <c r="Q492"/>
    </row>
    <row r="493" spans="5:17" x14ac:dyDescent="0.25">
      <c r="E493"/>
      <c r="N493"/>
      <c r="O493"/>
      <c r="P493"/>
      <c r="Q493"/>
    </row>
    <row r="494" spans="5:17" x14ac:dyDescent="0.25">
      <c r="E494"/>
      <c r="N494"/>
      <c r="O494"/>
      <c r="P494"/>
      <c r="Q494"/>
    </row>
    <row r="495" spans="5:17" x14ac:dyDescent="0.25">
      <c r="E495"/>
      <c r="N495"/>
      <c r="O495"/>
      <c r="P495"/>
      <c r="Q495"/>
    </row>
    <row r="496" spans="5:17" x14ac:dyDescent="0.25">
      <c r="E496"/>
      <c r="N496"/>
      <c r="O496"/>
      <c r="P496"/>
      <c r="Q496"/>
    </row>
    <row r="497" spans="5:17" x14ac:dyDescent="0.25">
      <c r="E497"/>
      <c r="N497"/>
      <c r="O497"/>
      <c r="P497"/>
      <c r="Q497"/>
    </row>
    <row r="498" spans="5:17" x14ac:dyDescent="0.25">
      <c r="E498"/>
      <c r="N498"/>
      <c r="O498"/>
      <c r="P498"/>
      <c r="Q498"/>
    </row>
    <row r="499" spans="5:17" x14ac:dyDescent="0.25">
      <c r="E499"/>
      <c r="N499"/>
      <c r="O499"/>
      <c r="P499"/>
      <c r="Q499"/>
    </row>
    <row r="500" spans="5:17" x14ac:dyDescent="0.25">
      <c r="E500"/>
      <c r="N500"/>
      <c r="O500"/>
      <c r="P500"/>
      <c r="Q500"/>
    </row>
    <row r="501" spans="5:17" x14ac:dyDescent="0.25">
      <c r="E501"/>
      <c r="N501"/>
      <c r="O501"/>
      <c r="P501"/>
      <c r="Q501"/>
    </row>
    <row r="502" spans="5:17" x14ac:dyDescent="0.25">
      <c r="E502"/>
      <c r="N502"/>
      <c r="O502"/>
      <c r="P502"/>
      <c r="Q502"/>
    </row>
    <row r="503" spans="5:17" x14ac:dyDescent="0.25">
      <c r="E503"/>
      <c r="N503"/>
      <c r="O503"/>
      <c r="P503"/>
      <c r="Q503"/>
    </row>
    <row r="504" spans="5:17" x14ac:dyDescent="0.25">
      <c r="E504"/>
      <c r="N504"/>
      <c r="O504"/>
      <c r="P504"/>
      <c r="Q504"/>
    </row>
    <row r="505" spans="5:17" x14ac:dyDescent="0.25">
      <c r="E505"/>
      <c r="N505"/>
      <c r="O505"/>
      <c r="P505"/>
      <c r="Q505"/>
    </row>
    <row r="506" spans="5:17" x14ac:dyDescent="0.25">
      <c r="E506"/>
      <c r="N506"/>
      <c r="O506"/>
      <c r="P506"/>
      <c r="Q506"/>
    </row>
    <row r="507" spans="5:17" x14ac:dyDescent="0.25">
      <c r="E507"/>
      <c r="N507"/>
      <c r="O507"/>
      <c r="P507"/>
      <c r="Q507"/>
    </row>
    <row r="508" spans="5:17" x14ac:dyDescent="0.25">
      <c r="E508"/>
      <c r="N508"/>
      <c r="O508"/>
      <c r="P508"/>
      <c r="Q508"/>
    </row>
    <row r="509" spans="5:17" x14ac:dyDescent="0.25">
      <c r="E509"/>
      <c r="N509"/>
      <c r="O509"/>
      <c r="P509"/>
      <c r="Q509"/>
    </row>
    <row r="510" spans="5:17" x14ac:dyDescent="0.25">
      <c r="E510"/>
      <c r="N510"/>
      <c r="O510"/>
      <c r="P510"/>
      <c r="Q510"/>
    </row>
    <row r="511" spans="5:17" x14ac:dyDescent="0.25">
      <c r="E511"/>
      <c r="N511"/>
      <c r="O511"/>
      <c r="P511"/>
      <c r="Q511"/>
    </row>
    <row r="512" spans="5:17" x14ac:dyDescent="0.25">
      <c r="E512"/>
      <c r="N512"/>
      <c r="O512"/>
      <c r="P512"/>
      <c r="Q512"/>
    </row>
    <row r="513" spans="5:17" x14ac:dyDescent="0.25">
      <c r="E513"/>
      <c r="N513"/>
      <c r="O513"/>
      <c r="P513"/>
      <c r="Q513"/>
    </row>
    <row r="514" spans="5:17" x14ac:dyDescent="0.25">
      <c r="E514"/>
      <c r="N514"/>
      <c r="O514"/>
      <c r="P514"/>
      <c r="Q514"/>
    </row>
    <row r="515" spans="5:17" x14ac:dyDescent="0.25">
      <c r="E515"/>
      <c r="N515"/>
      <c r="O515"/>
      <c r="P515"/>
      <c r="Q515"/>
    </row>
    <row r="516" spans="5:17" x14ac:dyDescent="0.25">
      <c r="E516"/>
      <c r="N516"/>
      <c r="O516"/>
      <c r="P516"/>
      <c r="Q516"/>
    </row>
    <row r="517" spans="5:17" x14ac:dyDescent="0.25">
      <c r="E517"/>
      <c r="N517"/>
      <c r="O517"/>
      <c r="P517"/>
      <c r="Q517"/>
    </row>
    <row r="518" spans="5:17" x14ac:dyDescent="0.25">
      <c r="E518"/>
      <c r="N518"/>
      <c r="O518"/>
      <c r="P518"/>
      <c r="Q518"/>
    </row>
    <row r="519" spans="5:17" x14ac:dyDescent="0.25">
      <c r="E519"/>
      <c r="N519"/>
      <c r="O519"/>
      <c r="P519"/>
      <c r="Q519"/>
    </row>
    <row r="520" spans="5:17" x14ac:dyDescent="0.25">
      <c r="E520"/>
      <c r="N520"/>
      <c r="O520"/>
      <c r="P520"/>
      <c r="Q520"/>
    </row>
    <row r="521" spans="5:17" x14ac:dyDescent="0.25">
      <c r="E521"/>
      <c r="N521"/>
      <c r="O521"/>
      <c r="P521"/>
      <c r="Q521"/>
    </row>
    <row r="522" spans="5:17" x14ac:dyDescent="0.25">
      <c r="E522"/>
      <c r="N522"/>
      <c r="O522"/>
      <c r="P522"/>
      <c r="Q522"/>
    </row>
    <row r="523" spans="5:17" x14ac:dyDescent="0.25">
      <c r="E523"/>
      <c r="N523"/>
      <c r="O523"/>
      <c r="P523"/>
      <c r="Q523"/>
    </row>
    <row r="524" spans="5:17" x14ac:dyDescent="0.25">
      <c r="E524"/>
      <c r="N524"/>
      <c r="O524"/>
      <c r="P524"/>
      <c r="Q524"/>
    </row>
    <row r="525" spans="5:17" x14ac:dyDescent="0.25">
      <c r="E525"/>
      <c r="N525"/>
      <c r="O525"/>
      <c r="P525"/>
      <c r="Q525"/>
    </row>
    <row r="526" spans="5:17" x14ac:dyDescent="0.25">
      <c r="E526"/>
      <c r="N526"/>
      <c r="O526"/>
      <c r="P526"/>
      <c r="Q526"/>
    </row>
    <row r="527" spans="5:17" x14ac:dyDescent="0.25">
      <c r="E527"/>
      <c r="N527"/>
      <c r="O527"/>
      <c r="P527"/>
      <c r="Q527"/>
    </row>
    <row r="528" spans="5:17" x14ac:dyDescent="0.25">
      <c r="E528"/>
      <c r="N528"/>
      <c r="O528"/>
      <c r="P528"/>
      <c r="Q528"/>
    </row>
    <row r="529" spans="5:17" x14ac:dyDescent="0.25">
      <c r="E529"/>
      <c r="N529"/>
      <c r="O529"/>
      <c r="P529"/>
      <c r="Q529"/>
    </row>
    <row r="530" spans="5:17" x14ac:dyDescent="0.25">
      <c r="E530"/>
      <c r="N530"/>
      <c r="O530"/>
      <c r="P530"/>
      <c r="Q530"/>
    </row>
    <row r="531" spans="5:17" x14ac:dyDescent="0.25">
      <c r="E531"/>
      <c r="N531"/>
      <c r="O531"/>
      <c r="P531"/>
      <c r="Q531"/>
    </row>
    <row r="532" spans="5:17" x14ac:dyDescent="0.25">
      <c r="E532"/>
      <c r="N532"/>
      <c r="O532"/>
      <c r="P532"/>
      <c r="Q532"/>
    </row>
    <row r="533" spans="5:17" x14ac:dyDescent="0.25">
      <c r="E533"/>
      <c r="N533"/>
      <c r="O533"/>
      <c r="P533"/>
      <c r="Q533"/>
    </row>
    <row r="534" spans="5:17" x14ac:dyDescent="0.25">
      <c r="E534"/>
      <c r="N534"/>
      <c r="O534"/>
      <c r="P534"/>
      <c r="Q534"/>
    </row>
    <row r="535" spans="5:17" x14ac:dyDescent="0.25">
      <c r="E535"/>
      <c r="N535"/>
      <c r="O535"/>
      <c r="P535"/>
      <c r="Q535"/>
    </row>
    <row r="536" spans="5:17" x14ac:dyDescent="0.25">
      <c r="E536"/>
      <c r="N536"/>
      <c r="O536"/>
      <c r="P536"/>
      <c r="Q536"/>
    </row>
    <row r="537" spans="5:17" x14ac:dyDescent="0.25">
      <c r="E537"/>
      <c r="N537"/>
      <c r="O537"/>
      <c r="P537"/>
      <c r="Q537"/>
    </row>
    <row r="538" spans="5:17" x14ac:dyDescent="0.25">
      <c r="E538"/>
      <c r="N538"/>
      <c r="O538"/>
      <c r="P538"/>
      <c r="Q538"/>
    </row>
    <row r="539" spans="5:17" x14ac:dyDescent="0.25">
      <c r="E539"/>
      <c r="N539"/>
      <c r="O539"/>
      <c r="P539"/>
      <c r="Q539"/>
    </row>
    <row r="540" spans="5:17" x14ac:dyDescent="0.25">
      <c r="E540"/>
      <c r="N540"/>
      <c r="O540"/>
      <c r="P540"/>
      <c r="Q540"/>
    </row>
    <row r="541" spans="5:17" x14ac:dyDescent="0.25">
      <c r="E541"/>
      <c r="N541"/>
      <c r="O541"/>
      <c r="P541"/>
      <c r="Q541"/>
    </row>
    <row r="542" spans="5:17" x14ac:dyDescent="0.25">
      <c r="E542"/>
      <c r="N542"/>
      <c r="O542"/>
      <c r="P542"/>
      <c r="Q542"/>
    </row>
    <row r="543" spans="5:17" x14ac:dyDescent="0.25">
      <c r="E543"/>
      <c r="N543"/>
      <c r="O543"/>
      <c r="P543"/>
      <c r="Q543"/>
    </row>
    <row r="544" spans="5:17" x14ac:dyDescent="0.25">
      <c r="E544"/>
      <c r="N544"/>
      <c r="O544"/>
      <c r="P544"/>
      <c r="Q544"/>
    </row>
    <row r="545" spans="5:17" x14ac:dyDescent="0.25">
      <c r="E545"/>
      <c r="N545"/>
      <c r="O545"/>
      <c r="P545"/>
      <c r="Q545"/>
    </row>
    <row r="546" spans="5:17" x14ac:dyDescent="0.25">
      <c r="E546"/>
      <c r="N546"/>
      <c r="O546"/>
      <c r="P546"/>
      <c r="Q546"/>
    </row>
    <row r="547" spans="5:17" x14ac:dyDescent="0.25">
      <c r="E547"/>
      <c r="N547"/>
      <c r="O547"/>
      <c r="P547"/>
      <c r="Q547"/>
    </row>
    <row r="548" spans="5:17" x14ac:dyDescent="0.25">
      <c r="E548"/>
      <c r="N548"/>
      <c r="O548"/>
      <c r="P548"/>
      <c r="Q548"/>
    </row>
    <row r="549" spans="5:17" x14ac:dyDescent="0.25">
      <c r="E549"/>
      <c r="N549"/>
      <c r="O549"/>
      <c r="P549"/>
      <c r="Q549"/>
    </row>
    <row r="550" spans="5:17" x14ac:dyDescent="0.25">
      <c r="E550"/>
      <c r="N550"/>
      <c r="O550"/>
      <c r="P550"/>
      <c r="Q550"/>
    </row>
    <row r="551" spans="5:17" x14ac:dyDescent="0.25">
      <c r="E551"/>
      <c r="N551"/>
      <c r="O551"/>
      <c r="P551"/>
      <c r="Q551"/>
    </row>
    <row r="552" spans="5:17" x14ac:dyDescent="0.25">
      <c r="E552"/>
      <c r="N552"/>
      <c r="O552"/>
      <c r="P552"/>
      <c r="Q552"/>
    </row>
    <row r="553" spans="5:17" x14ac:dyDescent="0.25">
      <c r="E553"/>
      <c r="N553"/>
      <c r="O553"/>
      <c r="P553"/>
      <c r="Q553"/>
    </row>
    <row r="554" spans="5:17" x14ac:dyDescent="0.25">
      <c r="E554"/>
      <c r="N554"/>
      <c r="O554"/>
      <c r="P554"/>
      <c r="Q554"/>
    </row>
    <row r="555" spans="5:17" x14ac:dyDescent="0.25">
      <c r="E555"/>
      <c r="N555"/>
      <c r="O555"/>
      <c r="P555"/>
      <c r="Q555"/>
    </row>
    <row r="556" spans="5:17" x14ac:dyDescent="0.25">
      <c r="E556"/>
      <c r="N556"/>
      <c r="O556"/>
      <c r="P556"/>
      <c r="Q556"/>
    </row>
    <row r="557" spans="5:17" x14ac:dyDescent="0.25">
      <c r="E557"/>
      <c r="N557"/>
      <c r="O557"/>
      <c r="P557"/>
      <c r="Q557"/>
    </row>
    <row r="558" spans="5:17" x14ac:dyDescent="0.25">
      <c r="E558"/>
      <c r="N558"/>
      <c r="O558"/>
      <c r="P558"/>
      <c r="Q558"/>
    </row>
    <row r="559" spans="5:17" x14ac:dyDescent="0.25">
      <c r="E559"/>
      <c r="N559"/>
      <c r="O559"/>
      <c r="P559"/>
      <c r="Q559"/>
    </row>
    <row r="560" spans="5:17" x14ac:dyDescent="0.25">
      <c r="E560"/>
      <c r="N560"/>
      <c r="O560"/>
      <c r="P560"/>
      <c r="Q560"/>
    </row>
    <row r="561" spans="5:17" x14ac:dyDescent="0.25">
      <c r="E561"/>
      <c r="N561"/>
      <c r="O561"/>
      <c r="P561"/>
      <c r="Q561"/>
    </row>
    <row r="562" spans="5:17" x14ac:dyDescent="0.25">
      <c r="E562"/>
      <c r="N562"/>
      <c r="O562"/>
      <c r="P562"/>
      <c r="Q562"/>
    </row>
    <row r="563" spans="5:17" x14ac:dyDescent="0.25">
      <c r="E563"/>
      <c r="N563"/>
      <c r="O563"/>
      <c r="P563"/>
      <c r="Q563"/>
    </row>
    <row r="564" spans="5:17" x14ac:dyDescent="0.25">
      <c r="E564"/>
      <c r="N564"/>
      <c r="O564"/>
      <c r="P564"/>
      <c r="Q564"/>
    </row>
    <row r="565" spans="5:17" x14ac:dyDescent="0.25">
      <c r="E565"/>
      <c r="N565"/>
      <c r="O565"/>
      <c r="P565"/>
      <c r="Q565"/>
    </row>
    <row r="566" spans="5:17" x14ac:dyDescent="0.25">
      <c r="E566"/>
      <c r="N566"/>
      <c r="O566"/>
      <c r="P566"/>
      <c r="Q566"/>
    </row>
    <row r="567" spans="5:17" x14ac:dyDescent="0.25">
      <c r="E567"/>
      <c r="N567"/>
      <c r="O567"/>
      <c r="P567"/>
      <c r="Q567"/>
    </row>
    <row r="568" spans="5:17" x14ac:dyDescent="0.25">
      <c r="E568"/>
      <c r="N568"/>
      <c r="O568"/>
      <c r="P568"/>
      <c r="Q568"/>
    </row>
    <row r="569" spans="5:17" x14ac:dyDescent="0.25">
      <c r="E569"/>
      <c r="N569"/>
      <c r="O569"/>
      <c r="P569"/>
      <c r="Q569"/>
    </row>
    <row r="570" spans="5:17" x14ac:dyDescent="0.25">
      <c r="E570"/>
      <c r="N570"/>
      <c r="O570"/>
      <c r="P570"/>
      <c r="Q570"/>
    </row>
    <row r="571" spans="5:17" x14ac:dyDescent="0.25">
      <c r="E571"/>
      <c r="N571"/>
      <c r="O571"/>
      <c r="P571"/>
      <c r="Q571"/>
    </row>
    <row r="572" spans="5:17" x14ac:dyDescent="0.25">
      <c r="E572"/>
      <c r="N572"/>
      <c r="O572"/>
      <c r="P572"/>
      <c r="Q572"/>
    </row>
    <row r="573" spans="5:17" x14ac:dyDescent="0.25">
      <c r="E573"/>
      <c r="N573"/>
      <c r="O573"/>
      <c r="P573"/>
      <c r="Q573"/>
    </row>
    <row r="574" spans="5:17" x14ac:dyDescent="0.25">
      <c r="E574"/>
      <c r="N574"/>
      <c r="O574"/>
      <c r="P574"/>
      <c r="Q574"/>
    </row>
    <row r="575" spans="5:17" x14ac:dyDescent="0.25">
      <c r="E575"/>
      <c r="N575"/>
      <c r="O575"/>
      <c r="P575"/>
      <c r="Q575"/>
    </row>
    <row r="576" spans="5:17" x14ac:dyDescent="0.25">
      <c r="E576"/>
      <c r="N576"/>
      <c r="O576"/>
      <c r="P576"/>
      <c r="Q576"/>
    </row>
    <row r="577" spans="5:17" x14ac:dyDescent="0.25">
      <c r="E577"/>
      <c r="N577"/>
      <c r="O577"/>
      <c r="P577"/>
      <c r="Q577"/>
    </row>
    <row r="578" spans="5:17" x14ac:dyDescent="0.25">
      <c r="E578"/>
      <c r="N578"/>
      <c r="O578"/>
      <c r="P578"/>
      <c r="Q578"/>
    </row>
    <row r="579" spans="5:17" x14ac:dyDescent="0.25">
      <c r="E579"/>
      <c r="N579"/>
      <c r="O579"/>
      <c r="P579"/>
      <c r="Q579"/>
    </row>
    <row r="580" spans="5:17" x14ac:dyDescent="0.25">
      <c r="E580"/>
      <c r="N580"/>
      <c r="O580"/>
      <c r="P580"/>
      <c r="Q580"/>
    </row>
    <row r="581" spans="5:17" x14ac:dyDescent="0.25">
      <c r="E581"/>
      <c r="N581"/>
      <c r="O581"/>
      <c r="P581"/>
      <c r="Q581"/>
    </row>
    <row r="582" spans="5:17" x14ac:dyDescent="0.25">
      <c r="E582"/>
      <c r="N582"/>
      <c r="O582"/>
      <c r="P582"/>
      <c r="Q582"/>
    </row>
    <row r="583" spans="5:17" x14ac:dyDescent="0.25">
      <c r="E583"/>
      <c r="N583"/>
      <c r="O583"/>
      <c r="P583"/>
      <c r="Q583"/>
    </row>
    <row r="584" spans="5:17" x14ac:dyDescent="0.25">
      <c r="E584"/>
      <c r="N584"/>
      <c r="O584"/>
      <c r="P584"/>
      <c r="Q584"/>
    </row>
    <row r="585" spans="5:17" x14ac:dyDescent="0.25">
      <c r="E585"/>
      <c r="N585"/>
      <c r="O585"/>
      <c r="P585"/>
      <c r="Q585"/>
    </row>
    <row r="586" spans="5:17" x14ac:dyDescent="0.25">
      <c r="E586"/>
      <c r="N586"/>
      <c r="O586"/>
      <c r="P586"/>
      <c r="Q586"/>
    </row>
    <row r="587" spans="5:17" x14ac:dyDescent="0.25">
      <c r="E587"/>
      <c r="N587"/>
      <c r="O587"/>
      <c r="P587"/>
      <c r="Q587"/>
    </row>
    <row r="588" spans="5:17" x14ac:dyDescent="0.25">
      <c r="E588"/>
      <c r="N588"/>
      <c r="O588"/>
      <c r="P588"/>
      <c r="Q588"/>
    </row>
    <row r="589" spans="5:17" x14ac:dyDescent="0.25">
      <c r="E589"/>
      <c r="N589"/>
      <c r="O589"/>
      <c r="P589"/>
      <c r="Q589"/>
    </row>
    <row r="590" spans="5:17" x14ac:dyDescent="0.25">
      <c r="E590"/>
      <c r="N590"/>
      <c r="O590"/>
      <c r="P590"/>
      <c r="Q590"/>
    </row>
    <row r="591" spans="5:17" x14ac:dyDescent="0.25">
      <c r="E591"/>
      <c r="N591"/>
      <c r="O591"/>
      <c r="P591"/>
      <c r="Q591"/>
    </row>
    <row r="592" spans="5:17" x14ac:dyDescent="0.25">
      <c r="E592"/>
      <c r="N592"/>
      <c r="O592"/>
      <c r="P592"/>
      <c r="Q592"/>
    </row>
    <row r="593" spans="5:17" x14ac:dyDescent="0.25">
      <c r="E593"/>
      <c r="N593"/>
      <c r="O593"/>
      <c r="P593"/>
      <c r="Q593"/>
    </row>
    <row r="594" spans="5:17" x14ac:dyDescent="0.25">
      <c r="E594"/>
      <c r="N594"/>
      <c r="O594"/>
      <c r="P594"/>
      <c r="Q594"/>
    </row>
    <row r="595" spans="5:17" x14ac:dyDescent="0.25">
      <c r="E595"/>
      <c r="N595"/>
      <c r="O595"/>
      <c r="P595"/>
      <c r="Q595"/>
    </row>
    <row r="596" spans="5:17" x14ac:dyDescent="0.25">
      <c r="E596"/>
      <c r="N596"/>
      <c r="O596"/>
      <c r="P596"/>
      <c r="Q596"/>
    </row>
    <row r="597" spans="5:17" x14ac:dyDescent="0.25">
      <c r="E597"/>
      <c r="N597"/>
      <c r="O597"/>
      <c r="P597"/>
      <c r="Q597"/>
    </row>
    <row r="598" spans="5:17" x14ac:dyDescent="0.25">
      <c r="E598"/>
      <c r="N598"/>
      <c r="O598"/>
      <c r="P598"/>
      <c r="Q598"/>
    </row>
    <row r="599" spans="5:17" x14ac:dyDescent="0.25">
      <c r="E599"/>
      <c r="N599"/>
      <c r="O599"/>
      <c r="P599"/>
      <c r="Q599"/>
    </row>
    <row r="600" spans="5:17" x14ac:dyDescent="0.25">
      <c r="E600"/>
      <c r="N600"/>
      <c r="O600"/>
      <c r="P600"/>
      <c r="Q600"/>
    </row>
    <row r="601" spans="5:17" x14ac:dyDescent="0.25">
      <c r="E601"/>
      <c r="N601"/>
      <c r="O601"/>
      <c r="P601"/>
      <c r="Q601"/>
    </row>
    <row r="602" spans="5:17" x14ac:dyDescent="0.25">
      <c r="E602"/>
      <c r="N602"/>
      <c r="O602"/>
      <c r="P602"/>
      <c r="Q602"/>
    </row>
    <row r="603" spans="5:17" x14ac:dyDescent="0.25">
      <c r="E603"/>
      <c r="N603"/>
      <c r="O603"/>
      <c r="P603"/>
      <c r="Q603"/>
    </row>
    <row r="604" spans="5:17" x14ac:dyDescent="0.25">
      <c r="E604"/>
      <c r="N604"/>
      <c r="O604"/>
      <c r="P604"/>
      <c r="Q604"/>
    </row>
    <row r="605" spans="5:17" x14ac:dyDescent="0.25">
      <c r="E605"/>
      <c r="N605"/>
      <c r="O605"/>
      <c r="P605"/>
      <c r="Q605"/>
    </row>
    <row r="606" spans="5:17" x14ac:dyDescent="0.25">
      <c r="E606"/>
      <c r="N606"/>
      <c r="O606"/>
      <c r="P606"/>
      <c r="Q606"/>
    </row>
    <row r="607" spans="5:17" x14ac:dyDescent="0.25">
      <c r="E607"/>
      <c r="N607"/>
      <c r="O607"/>
      <c r="P607"/>
      <c r="Q607"/>
    </row>
    <row r="608" spans="5:17" x14ac:dyDescent="0.25">
      <c r="E608"/>
      <c r="N608"/>
      <c r="O608"/>
      <c r="P608"/>
      <c r="Q608"/>
    </row>
    <row r="609" spans="5:17" x14ac:dyDescent="0.25">
      <c r="E609"/>
      <c r="N609"/>
      <c r="O609"/>
      <c r="P609"/>
      <c r="Q609"/>
    </row>
    <row r="610" spans="5:17" x14ac:dyDescent="0.25">
      <c r="E610"/>
      <c r="N610"/>
      <c r="O610"/>
      <c r="P610"/>
      <c r="Q610"/>
    </row>
    <row r="611" spans="5:17" x14ac:dyDescent="0.25">
      <c r="E611"/>
      <c r="N611"/>
      <c r="O611"/>
      <c r="P611"/>
      <c r="Q611"/>
    </row>
    <row r="612" spans="5:17" x14ac:dyDescent="0.25">
      <c r="E612"/>
      <c r="N612"/>
      <c r="O612"/>
      <c r="P612"/>
      <c r="Q612"/>
    </row>
    <row r="613" spans="5:17" x14ac:dyDescent="0.25">
      <c r="E613"/>
      <c r="N613"/>
      <c r="O613"/>
      <c r="P613"/>
      <c r="Q613"/>
    </row>
    <row r="614" spans="5:17" x14ac:dyDescent="0.25">
      <c r="E614"/>
      <c r="N614"/>
      <c r="O614"/>
      <c r="P614"/>
      <c r="Q614"/>
    </row>
    <row r="615" spans="5:17" x14ac:dyDescent="0.25">
      <c r="E615"/>
      <c r="N615"/>
      <c r="O615"/>
      <c r="P615"/>
      <c r="Q615"/>
    </row>
    <row r="616" spans="5:17" x14ac:dyDescent="0.25">
      <c r="E616"/>
      <c r="N616"/>
      <c r="O616"/>
      <c r="P616"/>
      <c r="Q616"/>
    </row>
    <row r="617" spans="5:17" x14ac:dyDescent="0.25">
      <c r="E617"/>
      <c r="N617"/>
      <c r="O617"/>
      <c r="P617"/>
      <c r="Q617"/>
    </row>
    <row r="618" spans="5:17" x14ac:dyDescent="0.25">
      <c r="E618"/>
      <c r="N618"/>
      <c r="O618"/>
      <c r="P618"/>
      <c r="Q618"/>
    </row>
    <row r="619" spans="5:17" x14ac:dyDescent="0.25">
      <c r="E619"/>
      <c r="N619"/>
      <c r="O619"/>
      <c r="P619"/>
      <c r="Q619"/>
    </row>
    <row r="620" spans="5:17" x14ac:dyDescent="0.25">
      <c r="E620"/>
      <c r="N620"/>
      <c r="O620"/>
      <c r="P620"/>
      <c r="Q620"/>
    </row>
    <row r="621" spans="5:17" x14ac:dyDescent="0.25">
      <c r="E621"/>
      <c r="N621"/>
      <c r="O621"/>
      <c r="P621"/>
      <c r="Q621"/>
    </row>
    <row r="622" spans="5:17" x14ac:dyDescent="0.25">
      <c r="E622"/>
      <c r="N622"/>
      <c r="O622"/>
      <c r="P622"/>
      <c r="Q622"/>
    </row>
    <row r="623" spans="5:17" x14ac:dyDescent="0.25">
      <c r="E623"/>
      <c r="N623"/>
      <c r="O623"/>
      <c r="P623"/>
      <c r="Q623"/>
    </row>
    <row r="624" spans="5:17" x14ac:dyDescent="0.25">
      <c r="E624"/>
      <c r="N624"/>
      <c r="O624"/>
      <c r="P624"/>
      <c r="Q624"/>
    </row>
    <row r="625" spans="5:17" x14ac:dyDescent="0.25">
      <c r="E625"/>
      <c r="N625"/>
      <c r="O625"/>
      <c r="P625"/>
      <c r="Q625"/>
    </row>
    <row r="626" spans="5:17" x14ac:dyDescent="0.25">
      <c r="E626"/>
      <c r="N626"/>
      <c r="O626"/>
      <c r="P626"/>
      <c r="Q626"/>
    </row>
    <row r="627" spans="5:17" x14ac:dyDescent="0.25">
      <c r="E627"/>
      <c r="N627"/>
      <c r="O627"/>
      <c r="P627"/>
      <c r="Q627"/>
    </row>
    <row r="628" spans="5:17" x14ac:dyDescent="0.25">
      <c r="E628"/>
      <c r="N628"/>
      <c r="O628"/>
      <c r="P628"/>
      <c r="Q628"/>
    </row>
    <row r="629" spans="5:17" x14ac:dyDescent="0.25">
      <c r="E629"/>
      <c r="N629"/>
      <c r="O629"/>
      <c r="P629"/>
      <c r="Q629"/>
    </row>
    <row r="630" spans="5:17" x14ac:dyDescent="0.25">
      <c r="E630"/>
      <c r="N630"/>
      <c r="O630"/>
      <c r="P630"/>
      <c r="Q630"/>
    </row>
    <row r="631" spans="5:17" x14ac:dyDescent="0.25">
      <c r="E631"/>
      <c r="N631"/>
      <c r="O631"/>
      <c r="P631"/>
      <c r="Q631"/>
    </row>
    <row r="632" spans="5:17" x14ac:dyDescent="0.25">
      <c r="E632"/>
      <c r="N632"/>
      <c r="O632"/>
      <c r="P632"/>
      <c r="Q632"/>
    </row>
    <row r="633" spans="5:17" x14ac:dyDescent="0.25">
      <c r="E633"/>
      <c r="N633"/>
      <c r="O633"/>
      <c r="P633"/>
      <c r="Q633"/>
    </row>
    <row r="634" spans="5:17" x14ac:dyDescent="0.25">
      <c r="E634"/>
      <c r="N634"/>
      <c r="O634"/>
      <c r="P634"/>
      <c r="Q634"/>
    </row>
    <row r="635" spans="5:17" x14ac:dyDescent="0.25">
      <c r="E635"/>
      <c r="N635"/>
      <c r="O635"/>
      <c r="P635"/>
      <c r="Q635"/>
    </row>
    <row r="636" spans="5:17" x14ac:dyDescent="0.25">
      <c r="E636"/>
      <c r="N636"/>
      <c r="O636"/>
      <c r="P636"/>
      <c r="Q636"/>
    </row>
    <row r="637" spans="5:17" x14ac:dyDescent="0.25">
      <c r="E637"/>
      <c r="N637"/>
      <c r="O637"/>
      <c r="P637"/>
      <c r="Q637"/>
    </row>
    <row r="638" spans="5:17" x14ac:dyDescent="0.25">
      <c r="E638"/>
      <c r="N638"/>
      <c r="O638"/>
      <c r="P638"/>
      <c r="Q638"/>
    </row>
    <row r="639" spans="5:17" x14ac:dyDescent="0.25">
      <c r="E639"/>
      <c r="N639"/>
      <c r="O639"/>
      <c r="P639"/>
      <c r="Q639"/>
    </row>
    <row r="640" spans="5:17" x14ac:dyDescent="0.25">
      <c r="E640"/>
      <c r="N640"/>
      <c r="O640"/>
      <c r="P640"/>
      <c r="Q640"/>
    </row>
    <row r="641" spans="5:17" x14ac:dyDescent="0.25">
      <c r="E641"/>
      <c r="N641"/>
      <c r="O641"/>
      <c r="P641"/>
      <c r="Q641"/>
    </row>
    <row r="642" spans="5:17" x14ac:dyDescent="0.25">
      <c r="E642"/>
      <c r="N642"/>
      <c r="O642"/>
      <c r="P642"/>
      <c r="Q642"/>
    </row>
    <row r="643" spans="5:17" x14ac:dyDescent="0.25">
      <c r="E643"/>
      <c r="N643"/>
      <c r="O643"/>
      <c r="P643"/>
      <c r="Q643"/>
    </row>
    <row r="644" spans="5:17" x14ac:dyDescent="0.25">
      <c r="E644"/>
      <c r="N644"/>
      <c r="O644"/>
      <c r="P644"/>
      <c r="Q644"/>
    </row>
    <row r="645" spans="5:17" x14ac:dyDescent="0.25">
      <c r="E645"/>
      <c r="N645"/>
      <c r="O645"/>
      <c r="P645"/>
      <c r="Q645"/>
    </row>
    <row r="646" spans="5:17" x14ac:dyDescent="0.25">
      <c r="E646"/>
      <c r="N646"/>
      <c r="O646"/>
      <c r="P646"/>
      <c r="Q646"/>
    </row>
    <row r="647" spans="5:17" x14ac:dyDescent="0.25">
      <c r="E647"/>
      <c r="N647"/>
      <c r="O647"/>
      <c r="P647"/>
      <c r="Q647"/>
    </row>
    <row r="648" spans="5:17" x14ac:dyDescent="0.25">
      <c r="E648"/>
      <c r="N648"/>
      <c r="O648"/>
      <c r="P648"/>
      <c r="Q648"/>
    </row>
    <row r="649" spans="5:17" x14ac:dyDescent="0.25">
      <c r="E649"/>
      <c r="N649"/>
      <c r="O649"/>
      <c r="P649"/>
      <c r="Q649"/>
    </row>
    <row r="650" spans="5:17" x14ac:dyDescent="0.25">
      <c r="E650"/>
      <c r="N650"/>
      <c r="O650"/>
      <c r="P650"/>
      <c r="Q650"/>
    </row>
    <row r="651" spans="5:17" x14ac:dyDescent="0.25">
      <c r="E651"/>
      <c r="N651"/>
      <c r="O651"/>
      <c r="P651"/>
      <c r="Q651"/>
    </row>
    <row r="652" spans="5:17" x14ac:dyDescent="0.25">
      <c r="E652"/>
      <c r="N652"/>
      <c r="O652"/>
      <c r="P652"/>
      <c r="Q652"/>
    </row>
    <row r="653" spans="5:17" x14ac:dyDescent="0.25">
      <c r="E653"/>
      <c r="N653"/>
      <c r="O653"/>
      <c r="P653"/>
      <c r="Q653"/>
    </row>
    <row r="654" spans="5:17" x14ac:dyDescent="0.25">
      <c r="E654"/>
      <c r="N654"/>
      <c r="O654"/>
      <c r="P654"/>
      <c r="Q654"/>
    </row>
    <row r="655" spans="5:17" x14ac:dyDescent="0.25">
      <c r="E655"/>
      <c r="N655"/>
      <c r="O655"/>
      <c r="P655"/>
      <c r="Q655"/>
    </row>
    <row r="656" spans="5:17" x14ac:dyDescent="0.25">
      <c r="E656"/>
      <c r="N656"/>
      <c r="O656"/>
      <c r="P656"/>
      <c r="Q656"/>
    </row>
    <row r="657" spans="5:17" x14ac:dyDescent="0.25">
      <c r="E657"/>
      <c r="N657"/>
      <c r="O657"/>
      <c r="P657"/>
      <c r="Q657"/>
    </row>
    <row r="658" spans="5:17" x14ac:dyDescent="0.25">
      <c r="E658"/>
      <c r="N658"/>
      <c r="O658"/>
      <c r="P658"/>
      <c r="Q658"/>
    </row>
    <row r="659" spans="5:17" x14ac:dyDescent="0.25">
      <c r="E659"/>
      <c r="N659"/>
      <c r="O659"/>
      <c r="P659"/>
      <c r="Q659"/>
    </row>
    <row r="660" spans="5:17" x14ac:dyDescent="0.25">
      <c r="E660"/>
      <c r="N660"/>
      <c r="O660"/>
      <c r="P660"/>
      <c r="Q660"/>
    </row>
    <row r="661" spans="5:17" x14ac:dyDescent="0.25">
      <c r="E661"/>
      <c r="N661"/>
      <c r="O661"/>
      <c r="P661"/>
      <c r="Q661"/>
    </row>
    <row r="662" spans="5:17" x14ac:dyDescent="0.25">
      <c r="E662"/>
      <c r="N662"/>
      <c r="O662"/>
      <c r="P662"/>
      <c r="Q662"/>
    </row>
    <row r="663" spans="5:17" x14ac:dyDescent="0.25">
      <c r="E663"/>
      <c r="N663"/>
      <c r="O663"/>
      <c r="P663"/>
      <c r="Q663"/>
    </row>
    <row r="664" spans="5:17" x14ac:dyDescent="0.25">
      <c r="E664"/>
      <c r="N664"/>
      <c r="O664"/>
      <c r="P664"/>
      <c r="Q664"/>
    </row>
    <row r="665" spans="5:17" x14ac:dyDescent="0.25">
      <c r="E665"/>
      <c r="N665"/>
      <c r="O665"/>
      <c r="P665"/>
      <c r="Q665"/>
    </row>
    <row r="666" spans="5:17" x14ac:dyDescent="0.25">
      <c r="E666"/>
      <c r="N666"/>
      <c r="O666"/>
      <c r="P666"/>
      <c r="Q666"/>
    </row>
    <row r="667" spans="5:17" x14ac:dyDescent="0.25">
      <c r="E667"/>
      <c r="N667"/>
      <c r="O667"/>
      <c r="P667"/>
      <c r="Q667"/>
    </row>
    <row r="668" spans="5:17" x14ac:dyDescent="0.25">
      <c r="E668"/>
      <c r="N668"/>
      <c r="O668"/>
      <c r="P668"/>
      <c r="Q668"/>
    </row>
    <row r="669" spans="5:17" x14ac:dyDescent="0.25">
      <c r="E669"/>
      <c r="N669"/>
      <c r="O669"/>
      <c r="P669"/>
      <c r="Q669"/>
    </row>
    <row r="670" spans="5:17" x14ac:dyDescent="0.25">
      <c r="E670"/>
      <c r="N670"/>
      <c r="O670"/>
      <c r="P670"/>
      <c r="Q670"/>
    </row>
    <row r="671" spans="5:17" x14ac:dyDescent="0.25">
      <c r="E671"/>
      <c r="N671"/>
      <c r="O671"/>
      <c r="P671"/>
      <c r="Q671"/>
    </row>
    <row r="672" spans="5:17" x14ac:dyDescent="0.25">
      <c r="E672"/>
      <c r="N672"/>
      <c r="O672"/>
      <c r="P672"/>
      <c r="Q672"/>
    </row>
    <row r="673" spans="5:17" x14ac:dyDescent="0.25">
      <c r="E673"/>
      <c r="N673"/>
      <c r="O673"/>
      <c r="P673"/>
      <c r="Q673"/>
    </row>
    <row r="674" spans="5:17" x14ac:dyDescent="0.25">
      <c r="E674"/>
      <c r="N674"/>
      <c r="O674"/>
      <c r="P674"/>
      <c r="Q674"/>
    </row>
    <row r="675" spans="5:17" x14ac:dyDescent="0.25">
      <c r="E675"/>
      <c r="N675"/>
      <c r="O675"/>
      <c r="P675"/>
      <c r="Q675"/>
    </row>
    <row r="676" spans="5:17" x14ac:dyDescent="0.25">
      <c r="E676"/>
      <c r="N676"/>
      <c r="O676"/>
      <c r="P676"/>
      <c r="Q676"/>
    </row>
    <row r="677" spans="5:17" x14ac:dyDescent="0.25">
      <c r="E677"/>
      <c r="N677"/>
      <c r="O677"/>
      <c r="P677"/>
      <c r="Q677"/>
    </row>
    <row r="678" spans="5:17" x14ac:dyDescent="0.25">
      <c r="E678"/>
      <c r="N678"/>
      <c r="O678"/>
      <c r="P678"/>
      <c r="Q678"/>
    </row>
    <row r="679" spans="5:17" x14ac:dyDescent="0.25">
      <c r="E679"/>
      <c r="N679"/>
      <c r="O679"/>
      <c r="P679"/>
      <c r="Q679"/>
    </row>
    <row r="680" spans="5:17" x14ac:dyDescent="0.25">
      <c r="E680"/>
      <c r="N680"/>
      <c r="O680"/>
      <c r="P680"/>
      <c r="Q680"/>
    </row>
    <row r="681" spans="5:17" x14ac:dyDescent="0.25">
      <c r="E681"/>
      <c r="N681"/>
      <c r="O681"/>
      <c r="P681"/>
      <c r="Q681"/>
    </row>
    <row r="682" spans="5:17" x14ac:dyDescent="0.25">
      <c r="E682"/>
      <c r="N682"/>
      <c r="O682"/>
      <c r="P682"/>
      <c r="Q682"/>
    </row>
    <row r="683" spans="5:17" x14ac:dyDescent="0.25">
      <c r="E683"/>
      <c r="N683"/>
      <c r="O683"/>
      <c r="P683"/>
      <c r="Q683"/>
    </row>
    <row r="684" spans="5:17" x14ac:dyDescent="0.25">
      <c r="E684"/>
      <c r="N684"/>
      <c r="O684"/>
      <c r="P684"/>
      <c r="Q684"/>
    </row>
    <row r="685" spans="5:17" x14ac:dyDescent="0.25">
      <c r="E685"/>
      <c r="N685"/>
      <c r="O685"/>
      <c r="P685"/>
      <c r="Q685"/>
    </row>
    <row r="686" spans="5:17" x14ac:dyDescent="0.25">
      <c r="E686"/>
      <c r="N686"/>
      <c r="O686"/>
      <c r="P686"/>
      <c r="Q686"/>
    </row>
    <row r="687" spans="5:17" x14ac:dyDescent="0.25">
      <c r="E687"/>
      <c r="N687"/>
      <c r="O687"/>
      <c r="P687"/>
      <c r="Q687"/>
    </row>
    <row r="688" spans="5:17" x14ac:dyDescent="0.25">
      <c r="E688"/>
      <c r="N688"/>
      <c r="O688"/>
      <c r="P688"/>
      <c r="Q688"/>
    </row>
    <row r="689" spans="5:17" x14ac:dyDescent="0.25">
      <c r="E689"/>
      <c r="N689"/>
      <c r="O689"/>
      <c r="P689"/>
      <c r="Q689"/>
    </row>
    <row r="690" spans="5:17" x14ac:dyDescent="0.25">
      <c r="E690"/>
      <c r="N690"/>
      <c r="O690"/>
      <c r="P690"/>
      <c r="Q690"/>
    </row>
    <row r="691" spans="5:17" x14ac:dyDescent="0.25">
      <c r="E691"/>
      <c r="N691"/>
      <c r="O691"/>
      <c r="P691"/>
      <c r="Q691"/>
    </row>
    <row r="692" spans="5:17" x14ac:dyDescent="0.25">
      <c r="E692"/>
      <c r="N692"/>
      <c r="O692"/>
      <c r="P692"/>
      <c r="Q692"/>
    </row>
    <row r="693" spans="5:17" x14ac:dyDescent="0.25">
      <c r="E693"/>
      <c r="N693"/>
      <c r="O693"/>
      <c r="P693"/>
      <c r="Q693"/>
    </row>
    <row r="694" spans="5:17" x14ac:dyDescent="0.25">
      <c r="E694"/>
      <c r="N694"/>
      <c r="O694"/>
      <c r="P694"/>
      <c r="Q694"/>
    </row>
    <row r="695" spans="5:17" x14ac:dyDescent="0.25">
      <c r="E695"/>
      <c r="N695"/>
      <c r="O695"/>
      <c r="P695"/>
      <c r="Q695"/>
    </row>
    <row r="696" spans="5:17" x14ac:dyDescent="0.25">
      <c r="E696"/>
      <c r="N696"/>
      <c r="O696"/>
      <c r="P696"/>
      <c r="Q696"/>
    </row>
    <row r="697" spans="5:17" x14ac:dyDescent="0.25">
      <c r="E697"/>
      <c r="N697"/>
      <c r="O697"/>
      <c r="P697"/>
      <c r="Q697"/>
    </row>
    <row r="698" spans="5:17" x14ac:dyDescent="0.25">
      <c r="E698"/>
      <c r="N698"/>
      <c r="O698"/>
      <c r="P698"/>
      <c r="Q698"/>
    </row>
    <row r="699" spans="5:17" x14ac:dyDescent="0.25">
      <c r="E699"/>
      <c r="N699"/>
      <c r="O699"/>
      <c r="P699"/>
      <c r="Q699"/>
    </row>
    <row r="700" spans="5:17" x14ac:dyDescent="0.25">
      <c r="E700"/>
      <c r="N700"/>
      <c r="O700"/>
      <c r="P700"/>
      <c r="Q700"/>
    </row>
    <row r="701" spans="5:17" x14ac:dyDescent="0.25">
      <c r="E701"/>
      <c r="N701"/>
      <c r="O701"/>
      <c r="P701"/>
      <c r="Q701"/>
    </row>
    <row r="702" spans="5:17" x14ac:dyDescent="0.25">
      <c r="E702"/>
      <c r="N702"/>
      <c r="O702"/>
      <c r="P702"/>
      <c r="Q702"/>
    </row>
    <row r="703" spans="5:17" x14ac:dyDescent="0.25">
      <c r="E703"/>
      <c r="N703"/>
      <c r="O703"/>
      <c r="P703"/>
      <c r="Q703"/>
    </row>
    <row r="704" spans="5:17" x14ac:dyDescent="0.25">
      <c r="E704"/>
      <c r="N704"/>
      <c r="O704"/>
      <c r="P704"/>
      <c r="Q704"/>
    </row>
    <row r="705" spans="5:17" x14ac:dyDescent="0.25">
      <c r="E705"/>
      <c r="N705"/>
      <c r="O705"/>
      <c r="P705"/>
      <c r="Q705"/>
    </row>
    <row r="706" spans="5:17" x14ac:dyDescent="0.25">
      <c r="E706"/>
      <c r="N706"/>
      <c r="O706"/>
      <c r="P706"/>
      <c r="Q706"/>
    </row>
    <row r="707" spans="5:17" x14ac:dyDescent="0.25">
      <c r="E707"/>
      <c r="N707"/>
      <c r="O707"/>
      <c r="P707"/>
      <c r="Q707"/>
    </row>
    <row r="708" spans="5:17" x14ac:dyDescent="0.25">
      <c r="E708"/>
      <c r="N708"/>
      <c r="O708"/>
      <c r="P708"/>
      <c r="Q708"/>
    </row>
    <row r="709" spans="5:17" x14ac:dyDescent="0.25">
      <c r="E709"/>
      <c r="N709"/>
      <c r="O709"/>
      <c r="P709"/>
      <c r="Q709"/>
    </row>
    <row r="710" spans="5:17" x14ac:dyDescent="0.25">
      <c r="E710"/>
      <c r="N710"/>
      <c r="O710"/>
      <c r="P710"/>
      <c r="Q710"/>
    </row>
    <row r="711" spans="5:17" x14ac:dyDescent="0.25">
      <c r="E711"/>
      <c r="N711"/>
      <c r="O711"/>
      <c r="P711"/>
      <c r="Q711"/>
    </row>
    <row r="712" spans="5:17" x14ac:dyDescent="0.25">
      <c r="E712"/>
      <c r="N712"/>
      <c r="O712"/>
      <c r="P712"/>
      <c r="Q712"/>
    </row>
    <row r="713" spans="5:17" x14ac:dyDescent="0.25">
      <c r="E713"/>
      <c r="N713"/>
      <c r="O713"/>
      <c r="P713"/>
      <c r="Q713"/>
    </row>
    <row r="714" spans="5:17" x14ac:dyDescent="0.25">
      <c r="E714"/>
      <c r="N714"/>
      <c r="O714"/>
      <c r="P714"/>
      <c r="Q714"/>
    </row>
    <row r="715" spans="5:17" x14ac:dyDescent="0.25">
      <c r="E715"/>
      <c r="N715"/>
      <c r="O715"/>
      <c r="P715"/>
      <c r="Q715"/>
    </row>
    <row r="716" spans="5:17" x14ac:dyDescent="0.25">
      <c r="E716"/>
      <c r="N716"/>
      <c r="O716"/>
      <c r="P716"/>
      <c r="Q716"/>
    </row>
    <row r="717" spans="5:17" x14ac:dyDescent="0.25">
      <c r="E717"/>
      <c r="N717"/>
      <c r="O717"/>
      <c r="P717"/>
      <c r="Q717"/>
    </row>
    <row r="718" spans="5:17" x14ac:dyDescent="0.25">
      <c r="E718"/>
      <c r="N718"/>
      <c r="O718"/>
      <c r="P718"/>
      <c r="Q718"/>
    </row>
    <row r="719" spans="5:17" x14ac:dyDescent="0.25">
      <c r="E719"/>
      <c r="N719"/>
      <c r="O719"/>
      <c r="P719"/>
      <c r="Q719"/>
    </row>
    <row r="720" spans="5:17" x14ac:dyDescent="0.25">
      <c r="E720"/>
      <c r="N720"/>
      <c r="O720"/>
      <c r="P720"/>
      <c r="Q720"/>
    </row>
    <row r="721" spans="5:17" x14ac:dyDescent="0.25">
      <c r="E721"/>
      <c r="N721"/>
      <c r="O721"/>
      <c r="P721"/>
      <c r="Q721"/>
    </row>
    <row r="722" spans="5:17" x14ac:dyDescent="0.25">
      <c r="E722"/>
      <c r="N722"/>
      <c r="O722"/>
      <c r="P722"/>
      <c r="Q722"/>
    </row>
    <row r="723" spans="5:17" x14ac:dyDescent="0.25">
      <c r="E723"/>
      <c r="N723"/>
      <c r="O723"/>
      <c r="P723"/>
      <c r="Q723"/>
    </row>
    <row r="724" spans="5:17" x14ac:dyDescent="0.25">
      <c r="E724"/>
      <c r="N724"/>
      <c r="O724"/>
      <c r="P724"/>
      <c r="Q724"/>
    </row>
    <row r="725" spans="5:17" x14ac:dyDescent="0.25">
      <c r="E725"/>
      <c r="N725"/>
      <c r="O725"/>
      <c r="P725"/>
      <c r="Q725"/>
    </row>
    <row r="726" spans="5:17" x14ac:dyDescent="0.25">
      <c r="E726"/>
      <c r="N726"/>
      <c r="O726"/>
      <c r="P726"/>
      <c r="Q726"/>
    </row>
    <row r="727" spans="5:17" x14ac:dyDescent="0.25">
      <c r="E727"/>
      <c r="N727"/>
      <c r="O727"/>
      <c r="P727"/>
      <c r="Q727"/>
    </row>
    <row r="728" spans="5:17" x14ac:dyDescent="0.25">
      <c r="E728"/>
      <c r="N728"/>
      <c r="O728"/>
      <c r="P728"/>
      <c r="Q728"/>
    </row>
    <row r="729" spans="5:17" x14ac:dyDescent="0.25">
      <c r="E729"/>
      <c r="N729"/>
      <c r="O729"/>
      <c r="P729"/>
      <c r="Q729"/>
    </row>
    <row r="730" spans="5:17" x14ac:dyDescent="0.25">
      <c r="E730"/>
      <c r="N730"/>
      <c r="O730"/>
      <c r="P730"/>
      <c r="Q730"/>
    </row>
    <row r="731" spans="5:17" x14ac:dyDescent="0.25">
      <c r="E731"/>
      <c r="N731"/>
      <c r="O731"/>
      <c r="P731"/>
      <c r="Q731"/>
    </row>
    <row r="732" spans="5:17" x14ac:dyDescent="0.25">
      <c r="E732"/>
      <c r="N732"/>
      <c r="O732"/>
      <c r="P732"/>
      <c r="Q732"/>
    </row>
    <row r="733" spans="5:17" x14ac:dyDescent="0.25">
      <c r="E733"/>
      <c r="N733"/>
      <c r="O733"/>
      <c r="P733"/>
      <c r="Q733"/>
    </row>
    <row r="734" spans="5:17" x14ac:dyDescent="0.25">
      <c r="E734"/>
      <c r="N734"/>
      <c r="O734"/>
      <c r="P734"/>
      <c r="Q734"/>
    </row>
    <row r="735" spans="5:17" x14ac:dyDescent="0.25">
      <c r="E735"/>
      <c r="N735"/>
      <c r="O735"/>
      <c r="P735"/>
      <c r="Q735"/>
    </row>
    <row r="736" spans="5:17" x14ac:dyDescent="0.25">
      <c r="E736"/>
      <c r="N736"/>
      <c r="O736"/>
      <c r="P736"/>
      <c r="Q736"/>
    </row>
    <row r="737" spans="5:17" x14ac:dyDescent="0.25">
      <c r="E737"/>
      <c r="N737"/>
      <c r="O737"/>
      <c r="P737"/>
      <c r="Q737"/>
    </row>
    <row r="738" spans="5:17" x14ac:dyDescent="0.25">
      <c r="E738"/>
      <c r="N738"/>
      <c r="O738"/>
      <c r="P738"/>
      <c r="Q738"/>
    </row>
    <row r="739" spans="5:17" x14ac:dyDescent="0.25">
      <c r="E739"/>
      <c r="N739"/>
      <c r="O739"/>
      <c r="P739"/>
      <c r="Q739"/>
    </row>
    <row r="740" spans="5:17" x14ac:dyDescent="0.25">
      <c r="E740"/>
      <c r="N740"/>
      <c r="O740"/>
      <c r="P740"/>
      <c r="Q740"/>
    </row>
    <row r="741" spans="5:17" x14ac:dyDescent="0.25">
      <c r="E741"/>
      <c r="N741"/>
      <c r="O741"/>
      <c r="P741"/>
      <c r="Q741"/>
    </row>
    <row r="742" spans="5:17" x14ac:dyDescent="0.25">
      <c r="E742"/>
      <c r="N742"/>
      <c r="O742"/>
      <c r="P742"/>
      <c r="Q742"/>
    </row>
    <row r="743" spans="5:17" x14ac:dyDescent="0.25">
      <c r="E743"/>
      <c r="N743"/>
      <c r="O743"/>
      <c r="P743"/>
      <c r="Q743"/>
    </row>
    <row r="744" spans="5:17" x14ac:dyDescent="0.25">
      <c r="E744"/>
      <c r="N744"/>
      <c r="O744"/>
      <c r="P744"/>
      <c r="Q744"/>
    </row>
    <row r="745" spans="5:17" x14ac:dyDescent="0.25">
      <c r="E745"/>
      <c r="N745"/>
      <c r="O745"/>
      <c r="P745"/>
      <c r="Q745"/>
    </row>
    <row r="746" spans="5:17" x14ac:dyDescent="0.25">
      <c r="E746"/>
      <c r="N746"/>
      <c r="O746"/>
      <c r="P746"/>
      <c r="Q746"/>
    </row>
    <row r="747" spans="5:17" x14ac:dyDescent="0.25">
      <c r="E747"/>
      <c r="N747"/>
      <c r="O747"/>
      <c r="P747"/>
      <c r="Q747"/>
    </row>
    <row r="748" spans="5:17" x14ac:dyDescent="0.25">
      <c r="E748"/>
      <c r="N748"/>
      <c r="O748"/>
      <c r="P748"/>
      <c r="Q748"/>
    </row>
    <row r="749" spans="5:17" x14ac:dyDescent="0.25">
      <c r="E749"/>
      <c r="N749"/>
      <c r="O749"/>
      <c r="P749"/>
      <c r="Q749"/>
    </row>
    <row r="750" spans="5:17" x14ac:dyDescent="0.25">
      <c r="E750"/>
      <c r="N750"/>
      <c r="O750"/>
      <c r="P750"/>
      <c r="Q750"/>
    </row>
    <row r="751" spans="5:17" x14ac:dyDescent="0.25">
      <c r="E751"/>
      <c r="N751"/>
      <c r="O751"/>
      <c r="P751"/>
      <c r="Q751"/>
    </row>
    <row r="752" spans="5:17" x14ac:dyDescent="0.25">
      <c r="E752"/>
      <c r="N752"/>
      <c r="O752"/>
      <c r="P752"/>
      <c r="Q752"/>
    </row>
    <row r="753" spans="5:17" x14ac:dyDescent="0.25">
      <c r="E753"/>
      <c r="N753"/>
      <c r="O753"/>
      <c r="P753"/>
      <c r="Q753"/>
    </row>
    <row r="754" spans="5:17" x14ac:dyDescent="0.25">
      <c r="E754"/>
      <c r="N754"/>
      <c r="O754"/>
      <c r="P754"/>
      <c r="Q754"/>
    </row>
    <row r="755" spans="5:17" x14ac:dyDescent="0.25">
      <c r="E755"/>
      <c r="N755"/>
      <c r="O755"/>
      <c r="P755"/>
      <c r="Q755"/>
    </row>
    <row r="756" spans="5:17" x14ac:dyDescent="0.25">
      <c r="E756"/>
      <c r="N756"/>
      <c r="O756"/>
      <c r="P756"/>
      <c r="Q756"/>
    </row>
    <row r="757" spans="5:17" x14ac:dyDescent="0.25">
      <c r="E757"/>
      <c r="N757"/>
      <c r="O757"/>
      <c r="P757"/>
      <c r="Q757"/>
    </row>
    <row r="758" spans="5:17" x14ac:dyDescent="0.25">
      <c r="E758"/>
      <c r="N758"/>
      <c r="O758"/>
      <c r="P758"/>
      <c r="Q758"/>
    </row>
    <row r="759" spans="5:17" x14ac:dyDescent="0.25">
      <c r="E759"/>
      <c r="N759"/>
      <c r="O759"/>
      <c r="P759"/>
      <c r="Q759"/>
    </row>
    <row r="760" spans="5:17" x14ac:dyDescent="0.25">
      <c r="E760"/>
      <c r="N760"/>
      <c r="O760"/>
      <c r="P760"/>
      <c r="Q760"/>
    </row>
    <row r="761" spans="5:17" x14ac:dyDescent="0.25">
      <c r="E761"/>
      <c r="N761"/>
      <c r="O761"/>
      <c r="P761"/>
      <c r="Q761"/>
    </row>
    <row r="762" spans="5:17" x14ac:dyDescent="0.25">
      <c r="E762"/>
      <c r="N762"/>
      <c r="O762"/>
      <c r="P762"/>
      <c r="Q762"/>
    </row>
    <row r="763" spans="5:17" x14ac:dyDescent="0.25">
      <c r="E763"/>
      <c r="N763"/>
      <c r="O763"/>
      <c r="P763"/>
      <c r="Q763"/>
    </row>
    <row r="764" spans="5:17" x14ac:dyDescent="0.25">
      <c r="E764"/>
      <c r="N764"/>
      <c r="O764"/>
      <c r="P764"/>
      <c r="Q764"/>
    </row>
    <row r="765" spans="5:17" x14ac:dyDescent="0.25">
      <c r="E765"/>
      <c r="N765"/>
      <c r="O765"/>
      <c r="P765"/>
      <c r="Q765"/>
    </row>
    <row r="766" spans="5:17" x14ac:dyDescent="0.25">
      <c r="E766"/>
      <c r="N766"/>
      <c r="O766"/>
      <c r="P766"/>
      <c r="Q766"/>
    </row>
    <row r="767" spans="5:17" x14ac:dyDescent="0.25">
      <c r="E767"/>
      <c r="N767"/>
      <c r="O767"/>
      <c r="P767"/>
      <c r="Q767"/>
    </row>
    <row r="768" spans="5:17" x14ac:dyDescent="0.25">
      <c r="E768"/>
      <c r="N768"/>
      <c r="O768"/>
      <c r="P768"/>
      <c r="Q768"/>
    </row>
    <row r="769" spans="5:17" x14ac:dyDescent="0.25">
      <c r="E769"/>
      <c r="N769"/>
      <c r="O769"/>
      <c r="P769"/>
      <c r="Q769"/>
    </row>
    <row r="770" spans="5:17" x14ac:dyDescent="0.25">
      <c r="E770"/>
      <c r="N770"/>
      <c r="O770"/>
      <c r="P770"/>
      <c r="Q770"/>
    </row>
    <row r="771" spans="5:17" x14ac:dyDescent="0.25">
      <c r="E771"/>
      <c r="N771"/>
      <c r="O771"/>
      <c r="P771"/>
      <c r="Q771"/>
    </row>
    <row r="772" spans="5:17" x14ac:dyDescent="0.25">
      <c r="E772"/>
      <c r="N772"/>
      <c r="O772"/>
      <c r="P772"/>
      <c r="Q772"/>
    </row>
    <row r="773" spans="5:17" x14ac:dyDescent="0.25">
      <c r="E773"/>
      <c r="N773"/>
      <c r="O773"/>
      <c r="P773"/>
      <c r="Q773"/>
    </row>
    <row r="774" spans="5:17" x14ac:dyDescent="0.25">
      <c r="E774"/>
      <c r="N774"/>
      <c r="O774"/>
      <c r="P774"/>
      <c r="Q774"/>
    </row>
    <row r="775" spans="5:17" x14ac:dyDescent="0.25">
      <c r="E775"/>
      <c r="N775"/>
      <c r="O775"/>
      <c r="P775"/>
      <c r="Q775"/>
    </row>
    <row r="776" spans="5:17" x14ac:dyDescent="0.25">
      <c r="E776"/>
      <c r="N776"/>
      <c r="O776"/>
      <c r="P776"/>
      <c r="Q776"/>
    </row>
    <row r="777" spans="5:17" x14ac:dyDescent="0.25">
      <c r="E777"/>
      <c r="N777"/>
      <c r="O777"/>
      <c r="P777"/>
      <c r="Q777"/>
    </row>
    <row r="778" spans="5:17" x14ac:dyDescent="0.25">
      <c r="E778"/>
      <c r="N778"/>
      <c r="O778"/>
      <c r="P778"/>
      <c r="Q778"/>
    </row>
    <row r="779" spans="5:17" x14ac:dyDescent="0.25">
      <c r="E779"/>
      <c r="N779"/>
      <c r="O779"/>
      <c r="P779"/>
      <c r="Q779"/>
    </row>
    <row r="780" spans="5:17" x14ac:dyDescent="0.25">
      <c r="E780"/>
      <c r="N780"/>
      <c r="O780"/>
      <c r="P780"/>
      <c r="Q780"/>
    </row>
    <row r="781" spans="5:17" x14ac:dyDescent="0.25">
      <c r="E781"/>
      <c r="N781"/>
      <c r="O781"/>
      <c r="P781"/>
      <c r="Q781"/>
    </row>
    <row r="782" spans="5:17" x14ac:dyDescent="0.25">
      <c r="E782"/>
      <c r="N782"/>
      <c r="O782"/>
      <c r="P782"/>
      <c r="Q782"/>
    </row>
    <row r="783" spans="5:17" x14ac:dyDescent="0.25">
      <c r="E783"/>
      <c r="N783"/>
      <c r="O783"/>
      <c r="P783"/>
      <c r="Q783"/>
    </row>
    <row r="784" spans="5:17" x14ac:dyDescent="0.25">
      <c r="E784"/>
      <c r="N784"/>
      <c r="O784"/>
      <c r="P784"/>
      <c r="Q784"/>
    </row>
    <row r="785" spans="5:17" x14ac:dyDescent="0.25">
      <c r="E785"/>
      <c r="N785"/>
      <c r="O785"/>
      <c r="P785"/>
      <c r="Q785"/>
    </row>
    <row r="786" spans="5:17" x14ac:dyDescent="0.25">
      <c r="E786"/>
      <c r="N786"/>
      <c r="O786"/>
      <c r="P786"/>
      <c r="Q786"/>
    </row>
    <row r="787" spans="5:17" x14ac:dyDescent="0.25">
      <c r="E787"/>
      <c r="N787"/>
      <c r="O787"/>
      <c r="P787"/>
      <c r="Q787"/>
    </row>
    <row r="788" spans="5:17" x14ac:dyDescent="0.25">
      <c r="E788"/>
      <c r="N788"/>
      <c r="O788"/>
      <c r="P788"/>
      <c r="Q788"/>
    </row>
    <row r="789" spans="5:17" x14ac:dyDescent="0.25">
      <c r="E789"/>
      <c r="N789"/>
      <c r="O789"/>
      <c r="P789"/>
      <c r="Q789"/>
    </row>
    <row r="790" spans="5:17" x14ac:dyDescent="0.25">
      <c r="E790"/>
      <c r="N790"/>
      <c r="O790"/>
      <c r="P790"/>
      <c r="Q790"/>
    </row>
    <row r="791" spans="5:17" x14ac:dyDescent="0.25">
      <c r="E791"/>
      <c r="N791"/>
      <c r="O791"/>
      <c r="P791"/>
      <c r="Q791"/>
    </row>
    <row r="792" spans="5:17" x14ac:dyDescent="0.25">
      <c r="E792"/>
      <c r="N792"/>
      <c r="O792"/>
      <c r="P792"/>
      <c r="Q792"/>
    </row>
    <row r="793" spans="5:17" x14ac:dyDescent="0.25">
      <c r="E793"/>
      <c r="N793"/>
      <c r="O793"/>
      <c r="P793"/>
      <c r="Q793"/>
    </row>
    <row r="794" spans="5:17" x14ac:dyDescent="0.25">
      <c r="E794"/>
      <c r="N794"/>
      <c r="O794"/>
      <c r="P794"/>
      <c r="Q794"/>
    </row>
    <row r="795" spans="5:17" x14ac:dyDescent="0.25">
      <c r="E795"/>
      <c r="N795"/>
      <c r="O795"/>
      <c r="P795"/>
      <c r="Q795"/>
    </row>
    <row r="796" spans="5:17" x14ac:dyDescent="0.25">
      <c r="E796"/>
      <c r="N796"/>
      <c r="O796"/>
      <c r="P796"/>
      <c r="Q796"/>
    </row>
    <row r="797" spans="5:17" x14ac:dyDescent="0.25">
      <c r="E797"/>
      <c r="N797"/>
      <c r="O797"/>
      <c r="P797"/>
      <c r="Q797"/>
    </row>
    <row r="798" spans="5:17" x14ac:dyDescent="0.25">
      <c r="E798"/>
      <c r="N798"/>
      <c r="O798"/>
      <c r="P798"/>
      <c r="Q798"/>
    </row>
    <row r="799" spans="5:17" x14ac:dyDescent="0.25">
      <c r="E799"/>
      <c r="N799"/>
      <c r="O799"/>
      <c r="P799"/>
      <c r="Q799"/>
    </row>
    <row r="800" spans="5:17" x14ac:dyDescent="0.25">
      <c r="E800"/>
      <c r="N800"/>
      <c r="O800"/>
      <c r="P800"/>
      <c r="Q800"/>
    </row>
    <row r="801" spans="5:17" x14ac:dyDescent="0.25">
      <c r="E801"/>
      <c r="N801"/>
      <c r="O801"/>
      <c r="P801"/>
      <c r="Q801"/>
    </row>
    <row r="802" spans="5:17" x14ac:dyDescent="0.25">
      <c r="E802"/>
      <c r="N802"/>
      <c r="O802"/>
      <c r="P802"/>
      <c r="Q802"/>
    </row>
    <row r="803" spans="5:17" x14ac:dyDescent="0.25">
      <c r="E803"/>
      <c r="N803"/>
      <c r="O803"/>
      <c r="P803"/>
      <c r="Q803"/>
    </row>
    <row r="804" spans="5:17" x14ac:dyDescent="0.25">
      <c r="E804"/>
      <c r="N804"/>
      <c r="O804"/>
      <c r="P804"/>
      <c r="Q804"/>
    </row>
    <row r="805" spans="5:17" x14ac:dyDescent="0.25">
      <c r="E805"/>
      <c r="N805"/>
      <c r="O805"/>
      <c r="P805"/>
      <c r="Q805"/>
    </row>
    <row r="806" spans="5:17" x14ac:dyDescent="0.25">
      <c r="E806"/>
      <c r="N806"/>
      <c r="O806"/>
      <c r="P806"/>
      <c r="Q806"/>
    </row>
    <row r="807" spans="5:17" x14ac:dyDescent="0.25">
      <c r="E807"/>
      <c r="N807"/>
      <c r="O807"/>
      <c r="P807"/>
      <c r="Q807"/>
    </row>
    <row r="808" spans="5:17" x14ac:dyDescent="0.25">
      <c r="E808"/>
      <c r="N808"/>
      <c r="O808"/>
      <c r="P808"/>
      <c r="Q808"/>
    </row>
    <row r="809" spans="5:17" x14ac:dyDescent="0.25">
      <c r="E809"/>
      <c r="N809"/>
      <c r="O809"/>
      <c r="P809"/>
      <c r="Q809"/>
    </row>
    <row r="810" spans="5:17" x14ac:dyDescent="0.25">
      <c r="E810"/>
      <c r="N810"/>
      <c r="O810"/>
      <c r="P810"/>
      <c r="Q810"/>
    </row>
    <row r="811" spans="5:17" x14ac:dyDescent="0.25">
      <c r="E811"/>
      <c r="N811"/>
      <c r="O811"/>
      <c r="P811"/>
      <c r="Q811"/>
    </row>
    <row r="812" spans="5:17" x14ac:dyDescent="0.25">
      <c r="E812"/>
      <c r="N812"/>
      <c r="O812"/>
      <c r="P812"/>
      <c r="Q812"/>
    </row>
    <row r="813" spans="5:17" x14ac:dyDescent="0.25">
      <c r="E813"/>
      <c r="N813"/>
      <c r="O813"/>
      <c r="P813"/>
      <c r="Q813"/>
    </row>
    <row r="814" spans="5:17" x14ac:dyDescent="0.25">
      <c r="E814"/>
      <c r="N814"/>
      <c r="O814"/>
      <c r="P814"/>
      <c r="Q814"/>
    </row>
    <row r="815" spans="5:17" x14ac:dyDescent="0.25">
      <c r="E815"/>
      <c r="N815"/>
      <c r="O815"/>
      <c r="P815"/>
      <c r="Q815"/>
    </row>
    <row r="816" spans="5:17" x14ac:dyDescent="0.25">
      <c r="E816"/>
      <c r="N816"/>
      <c r="O816"/>
      <c r="P816"/>
      <c r="Q816"/>
    </row>
    <row r="817" spans="5:17" x14ac:dyDescent="0.25">
      <c r="E817"/>
      <c r="N817"/>
      <c r="O817"/>
      <c r="P817"/>
      <c r="Q817"/>
    </row>
    <row r="818" spans="5:17" x14ac:dyDescent="0.25">
      <c r="E818"/>
      <c r="N818"/>
      <c r="O818"/>
      <c r="P818"/>
      <c r="Q818"/>
    </row>
    <row r="819" spans="5:17" x14ac:dyDescent="0.25">
      <c r="E819"/>
      <c r="N819"/>
      <c r="O819"/>
      <c r="P819"/>
      <c r="Q819"/>
    </row>
    <row r="820" spans="5:17" x14ac:dyDescent="0.25">
      <c r="E820"/>
      <c r="N820"/>
      <c r="O820"/>
      <c r="P820"/>
      <c r="Q820"/>
    </row>
    <row r="821" spans="5:17" x14ac:dyDescent="0.25">
      <c r="E821"/>
      <c r="N821"/>
      <c r="O821"/>
      <c r="P821"/>
      <c r="Q821"/>
    </row>
    <row r="822" spans="5:17" x14ac:dyDescent="0.25">
      <c r="E822"/>
      <c r="N822"/>
      <c r="O822"/>
      <c r="P822"/>
      <c r="Q822"/>
    </row>
    <row r="823" spans="5:17" x14ac:dyDescent="0.25">
      <c r="E823"/>
      <c r="N823"/>
      <c r="O823"/>
      <c r="P823"/>
      <c r="Q823"/>
    </row>
    <row r="824" spans="5:17" x14ac:dyDescent="0.25">
      <c r="E824"/>
      <c r="N824"/>
      <c r="O824"/>
      <c r="P824"/>
      <c r="Q824"/>
    </row>
    <row r="825" spans="5:17" x14ac:dyDescent="0.25">
      <c r="E825"/>
      <c r="N825"/>
      <c r="O825"/>
      <c r="P825"/>
      <c r="Q825"/>
    </row>
    <row r="826" spans="5:17" x14ac:dyDescent="0.25">
      <c r="E826"/>
      <c r="N826"/>
      <c r="O826"/>
      <c r="P826"/>
      <c r="Q826"/>
    </row>
    <row r="827" spans="5:17" x14ac:dyDescent="0.25">
      <c r="E827"/>
      <c r="N827"/>
      <c r="O827"/>
      <c r="P827"/>
      <c r="Q827"/>
    </row>
    <row r="828" spans="5:17" x14ac:dyDescent="0.25">
      <c r="E828"/>
      <c r="N828"/>
      <c r="O828"/>
      <c r="P828"/>
      <c r="Q828"/>
    </row>
    <row r="829" spans="5:17" x14ac:dyDescent="0.25">
      <c r="E829"/>
      <c r="N829"/>
      <c r="O829"/>
      <c r="P829"/>
      <c r="Q829"/>
    </row>
    <row r="830" spans="5:17" x14ac:dyDescent="0.25">
      <c r="E830"/>
      <c r="N830"/>
      <c r="O830"/>
      <c r="P830"/>
      <c r="Q830"/>
    </row>
    <row r="831" spans="5:17" x14ac:dyDescent="0.25">
      <c r="E831"/>
      <c r="N831"/>
      <c r="O831"/>
      <c r="P831"/>
      <c r="Q831"/>
    </row>
    <row r="832" spans="5:17" x14ac:dyDescent="0.25">
      <c r="E832"/>
      <c r="N832"/>
      <c r="O832"/>
      <c r="P832"/>
      <c r="Q832"/>
    </row>
    <row r="833" spans="5:17" x14ac:dyDescent="0.25">
      <c r="E833"/>
      <c r="N833"/>
      <c r="O833"/>
      <c r="P833"/>
      <c r="Q833"/>
    </row>
    <row r="834" spans="5:17" x14ac:dyDescent="0.25">
      <c r="E834"/>
      <c r="N834"/>
      <c r="O834"/>
      <c r="P834"/>
      <c r="Q834"/>
    </row>
    <row r="835" spans="5:17" x14ac:dyDescent="0.25">
      <c r="E835"/>
      <c r="N835"/>
      <c r="O835"/>
      <c r="P835"/>
      <c r="Q835"/>
    </row>
    <row r="836" spans="5:17" x14ac:dyDescent="0.25">
      <c r="E836"/>
      <c r="N836"/>
      <c r="O836"/>
      <c r="P836"/>
      <c r="Q836"/>
    </row>
    <row r="837" spans="5:17" x14ac:dyDescent="0.25">
      <c r="E837"/>
      <c r="N837"/>
      <c r="O837"/>
      <c r="P837"/>
      <c r="Q837"/>
    </row>
    <row r="838" spans="5:17" x14ac:dyDescent="0.25">
      <c r="E838"/>
      <c r="N838"/>
      <c r="O838"/>
      <c r="P838"/>
      <c r="Q838"/>
    </row>
    <row r="839" spans="5:17" x14ac:dyDescent="0.25">
      <c r="E839"/>
      <c r="N839"/>
      <c r="O839"/>
      <c r="P839"/>
      <c r="Q839"/>
    </row>
    <row r="840" spans="5:17" x14ac:dyDescent="0.25">
      <c r="E840"/>
      <c r="N840"/>
      <c r="O840"/>
      <c r="P840"/>
      <c r="Q840"/>
    </row>
    <row r="841" spans="5:17" x14ac:dyDescent="0.25">
      <c r="E841"/>
      <c r="N841"/>
      <c r="O841"/>
      <c r="P841"/>
      <c r="Q841"/>
    </row>
    <row r="842" spans="5:17" x14ac:dyDescent="0.25">
      <c r="E842"/>
      <c r="N842"/>
      <c r="O842"/>
      <c r="P842"/>
      <c r="Q842"/>
    </row>
    <row r="843" spans="5:17" x14ac:dyDescent="0.25">
      <c r="E843"/>
      <c r="N843"/>
      <c r="O843"/>
      <c r="P843"/>
      <c r="Q843"/>
    </row>
    <row r="844" spans="5:17" x14ac:dyDescent="0.25">
      <c r="E844"/>
      <c r="N844"/>
      <c r="O844"/>
      <c r="P844"/>
      <c r="Q844"/>
    </row>
    <row r="845" spans="5:17" x14ac:dyDescent="0.25">
      <c r="E845"/>
      <c r="N845"/>
      <c r="O845"/>
      <c r="P845"/>
      <c r="Q845"/>
    </row>
    <row r="846" spans="5:17" x14ac:dyDescent="0.25">
      <c r="E846"/>
      <c r="N846"/>
      <c r="O846"/>
      <c r="P846"/>
      <c r="Q846"/>
    </row>
    <row r="847" spans="5:17" x14ac:dyDescent="0.25">
      <c r="E847"/>
      <c r="N847"/>
      <c r="O847"/>
      <c r="P847"/>
      <c r="Q847"/>
    </row>
    <row r="848" spans="5:17" x14ac:dyDescent="0.25">
      <c r="E848"/>
      <c r="N848"/>
      <c r="O848"/>
      <c r="P848"/>
      <c r="Q848"/>
    </row>
    <row r="849" spans="5:17" x14ac:dyDescent="0.25">
      <c r="E849"/>
      <c r="N849"/>
      <c r="O849"/>
      <c r="P849"/>
      <c r="Q849"/>
    </row>
    <row r="850" spans="5:17" x14ac:dyDescent="0.25">
      <c r="E850"/>
      <c r="N850"/>
      <c r="O850"/>
      <c r="P850"/>
      <c r="Q850"/>
    </row>
    <row r="851" spans="5:17" x14ac:dyDescent="0.25">
      <c r="E851"/>
      <c r="N851"/>
      <c r="O851"/>
      <c r="P851"/>
      <c r="Q851"/>
    </row>
    <row r="852" spans="5:17" x14ac:dyDescent="0.25">
      <c r="E852"/>
      <c r="N852"/>
      <c r="O852"/>
      <c r="P852"/>
      <c r="Q852"/>
    </row>
    <row r="853" spans="5:17" x14ac:dyDescent="0.25">
      <c r="E853"/>
      <c r="N853"/>
      <c r="O853"/>
      <c r="P853"/>
      <c r="Q853"/>
    </row>
    <row r="854" spans="5:17" x14ac:dyDescent="0.25">
      <c r="E854"/>
      <c r="N854"/>
      <c r="O854"/>
      <c r="P854"/>
      <c r="Q854"/>
    </row>
    <row r="855" spans="5:17" x14ac:dyDescent="0.25">
      <c r="E855"/>
      <c r="N855"/>
      <c r="O855"/>
      <c r="P855"/>
      <c r="Q855"/>
    </row>
    <row r="856" spans="5:17" x14ac:dyDescent="0.25">
      <c r="E856"/>
      <c r="N856"/>
      <c r="O856"/>
      <c r="P856"/>
      <c r="Q856"/>
    </row>
    <row r="857" spans="5:17" x14ac:dyDescent="0.25">
      <c r="E857"/>
      <c r="N857"/>
      <c r="O857"/>
      <c r="P857"/>
      <c r="Q857"/>
    </row>
    <row r="858" spans="5:17" x14ac:dyDescent="0.25">
      <c r="E858"/>
      <c r="N858"/>
      <c r="O858"/>
      <c r="P858"/>
      <c r="Q858"/>
    </row>
    <row r="859" spans="5:17" x14ac:dyDescent="0.25">
      <c r="E859"/>
      <c r="N859"/>
      <c r="O859"/>
      <c r="P859"/>
      <c r="Q859"/>
    </row>
    <row r="860" spans="5:17" x14ac:dyDescent="0.25">
      <c r="E860"/>
      <c r="N860"/>
      <c r="O860"/>
      <c r="P860"/>
      <c r="Q860"/>
    </row>
    <row r="861" spans="5:17" x14ac:dyDescent="0.25">
      <c r="E861"/>
      <c r="N861"/>
      <c r="O861"/>
      <c r="P861"/>
      <c r="Q861"/>
    </row>
    <row r="862" spans="5:17" x14ac:dyDescent="0.25">
      <c r="E862"/>
      <c r="N862"/>
      <c r="O862"/>
      <c r="P862"/>
      <c r="Q862"/>
    </row>
    <row r="863" spans="5:17" x14ac:dyDescent="0.25">
      <c r="E863"/>
      <c r="N863"/>
      <c r="O863"/>
      <c r="P863"/>
      <c r="Q863"/>
    </row>
    <row r="864" spans="5:17" x14ac:dyDescent="0.25">
      <c r="E864"/>
      <c r="N864"/>
      <c r="O864"/>
      <c r="P864"/>
      <c r="Q864"/>
    </row>
    <row r="865" spans="5:17" x14ac:dyDescent="0.25">
      <c r="E865"/>
      <c r="N865"/>
      <c r="O865"/>
      <c r="P865"/>
      <c r="Q865"/>
    </row>
    <row r="866" spans="5:17" x14ac:dyDescent="0.25">
      <c r="E866"/>
      <c r="N866"/>
      <c r="O866"/>
      <c r="P866"/>
      <c r="Q866"/>
    </row>
    <row r="867" spans="5:17" x14ac:dyDescent="0.25">
      <c r="E867"/>
      <c r="N867"/>
      <c r="O867"/>
      <c r="P867"/>
      <c r="Q867"/>
    </row>
    <row r="868" spans="5:17" x14ac:dyDescent="0.25">
      <c r="E868"/>
      <c r="N868"/>
      <c r="O868"/>
      <c r="P868"/>
      <c r="Q868"/>
    </row>
    <row r="869" spans="5:17" x14ac:dyDescent="0.25">
      <c r="E869"/>
      <c r="N869"/>
      <c r="O869"/>
      <c r="P869"/>
      <c r="Q869"/>
    </row>
    <row r="870" spans="5:17" x14ac:dyDescent="0.25">
      <c r="E870"/>
      <c r="N870"/>
      <c r="O870"/>
      <c r="P870"/>
      <c r="Q870"/>
    </row>
    <row r="871" spans="5:17" x14ac:dyDescent="0.25">
      <c r="E871"/>
      <c r="N871"/>
      <c r="O871"/>
      <c r="P871"/>
      <c r="Q871"/>
    </row>
    <row r="872" spans="5:17" x14ac:dyDescent="0.25">
      <c r="E872"/>
      <c r="N872"/>
      <c r="O872"/>
      <c r="P872"/>
      <c r="Q872"/>
    </row>
    <row r="873" spans="5:17" x14ac:dyDescent="0.25">
      <c r="E873"/>
      <c r="N873"/>
      <c r="O873"/>
      <c r="P873"/>
      <c r="Q873"/>
    </row>
    <row r="874" spans="5:17" x14ac:dyDescent="0.25">
      <c r="E874"/>
      <c r="N874"/>
      <c r="O874"/>
      <c r="P874"/>
      <c r="Q874"/>
    </row>
    <row r="875" spans="5:17" x14ac:dyDescent="0.25">
      <c r="E875"/>
      <c r="N875"/>
      <c r="O875"/>
      <c r="P875"/>
      <c r="Q875"/>
    </row>
    <row r="876" spans="5:17" x14ac:dyDescent="0.25">
      <c r="E876"/>
      <c r="N876"/>
      <c r="O876"/>
      <c r="P876"/>
      <c r="Q876"/>
    </row>
    <row r="877" spans="5:17" x14ac:dyDescent="0.25">
      <c r="E877"/>
      <c r="N877"/>
      <c r="O877"/>
      <c r="P877"/>
      <c r="Q877"/>
    </row>
    <row r="878" spans="5:17" x14ac:dyDescent="0.25">
      <c r="E878"/>
      <c r="N878"/>
      <c r="O878"/>
      <c r="P878"/>
      <c r="Q878"/>
    </row>
    <row r="879" spans="5:17" x14ac:dyDescent="0.25">
      <c r="E879"/>
      <c r="N879"/>
      <c r="O879"/>
      <c r="P879"/>
      <c r="Q879"/>
    </row>
    <row r="880" spans="5:17" x14ac:dyDescent="0.25">
      <c r="E880"/>
      <c r="N880"/>
      <c r="O880"/>
      <c r="P880"/>
      <c r="Q880"/>
    </row>
    <row r="881" spans="5:17" x14ac:dyDescent="0.25">
      <c r="E881"/>
      <c r="N881"/>
      <c r="O881"/>
      <c r="P881"/>
      <c r="Q881"/>
    </row>
    <row r="882" spans="5:17" x14ac:dyDescent="0.25">
      <c r="E882"/>
      <c r="N882"/>
      <c r="O882"/>
      <c r="P882"/>
      <c r="Q882"/>
    </row>
    <row r="883" spans="5:17" x14ac:dyDescent="0.25">
      <c r="E883"/>
      <c r="N883"/>
      <c r="O883"/>
      <c r="P883"/>
      <c r="Q883"/>
    </row>
    <row r="884" spans="5:17" x14ac:dyDescent="0.25">
      <c r="E884"/>
      <c r="N884"/>
      <c r="O884"/>
      <c r="P884"/>
      <c r="Q884"/>
    </row>
    <row r="885" spans="5:17" x14ac:dyDescent="0.25">
      <c r="E885"/>
      <c r="N885"/>
      <c r="O885"/>
      <c r="P885"/>
      <c r="Q885"/>
    </row>
    <row r="886" spans="5:17" x14ac:dyDescent="0.25">
      <c r="E886"/>
      <c r="N886"/>
      <c r="O886"/>
      <c r="P886"/>
      <c r="Q886"/>
    </row>
    <row r="887" spans="5:17" x14ac:dyDescent="0.25">
      <c r="E887"/>
      <c r="N887"/>
      <c r="O887"/>
      <c r="P887"/>
      <c r="Q887"/>
    </row>
    <row r="888" spans="5:17" x14ac:dyDescent="0.25">
      <c r="E888"/>
      <c r="N888"/>
      <c r="O888"/>
      <c r="P888"/>
      <c r="Q888"/>
    </row>
    <row r="889" spans="5:17" x14ac:dyDescent="0.25">
      <c r="E889"/>
      <c r="N889"/>
      <c r="O889"/>
      <c r="P889"/>
      <c r="Q889"/>
    </row>
    <row r="890" spans="5:17" x14ac:dyDescent="0.25">
      <c r="E890"/>
      <c r="N890"/>
      <c r="O890"/>
      <c r="P890"/>
      <c r="Q890"/>
    </row>
    <row r="891" spans="5:17" x14ac:dyDescent="0.25">
      <c r="E891"/>
      <c r="N891"/>
      <c r="O891"/>
      <c r="P891"/>
      <c r="Q891"/>
    </row>
    <row r="892" spans="5:17" x14ac:dyDescent="0.25">
      <c r="E892"/>
      <c r="N892"/>
      <c r="O892"/>
      <c r="P892"/>
      <c r="Q892"/>
    </row>
    <row r="893" spans="5:17" x14ac:dyDescent="0.25">
      <c r="E893"/>
      <c r="N893"/>
      <c r="O893"/>
      <c r="P893"/>
      <c r="Q893"/>
    </row>
    <row r="894" spans="5:17" x14ac:dyDescent="0.25">
      <c r="E894"/>
      <c r="N894"/>
      <c r="O894"/>
      <c r="P894"/>
      <c r="Q894"/>
    </row>
    <row r="895" spans="5:17" x14ac:dyDescent="0.25">
      <c r="E895"/>
      <c r="N895"/>
      <c r="O895"/>
      <c r="P895"/>
      <c r="Q895"/>
    </row>
    <row r="896" spans="5:17" x14ac:dyDescent="0.25">
      <c r="E896"/>
      <c r="N896"/>
      <c r="O896"/>
      <c r="P896"/>
      <c r="Q896"/>
    </row>
    <row r="897" spans="5:17" x14ac:dyDescent="0.25">
      <c r="E897"/>
      <c r="N897"/>
      <c r="O897"/>
      <c r="P897"/>
      <c r="Q897"/>
    </row>
    <row r="898" spans="5:17" x14ac:dyDescent="0.25">
      <c r="E898"/>
      <c r="N898"/>
      <c r="O898"/>
      <c r="P898"/>
      <c r="Q898"/>
    </row>
    <row r="899" spans="5:17" x14ac:dyDescent="0.25">
      <c r="E899"/>
      <c r="N899"/>
      <c r="O899"/>
      <c r="P899"/>
      <c r="Q899"/>
    </row>
    <row r="900" spans="5:17" x14ac:dyDescent="0.25">
      <c r="E900"/>
      <c r="N900"/>
      <c r="O900"/>
      <c r="P900"/>
      <c r="Q900"/>
    </row>
    <row r="901" spans="5:17" x14ac:dyDescent="0.25">
      <c r="E901"/>
      <c r="N901"/>
      <c r="O901"/>
      <c r="P901"/>
      <c r="Q901"/>
    </row>
    <row r="902" spans="5:17" x14ac:dyDescent="0.25">
      <c r="E902"/>
      <c r="N902"/>
      <c r="O902"/>
      <c r="P902"/>
      <c r="Q902"/>
    </row>
    <row r="903" spans="5:17" x14ac:dyDescent="0.25">
      <c r="E903"/>
      <c r="N903"/>
      <c r="O903"/>
      <c r="P903"/>
      <c r="Q903"/>
    </row>
    <row r="904" spans="5:17" x14ac:dyDescent="0.25">
      <c r="E904"/>
      <c r="N904"/>
      <c r="O904"/>
      <c r="P904"/>
      <c r="Q904"/>
    </row>
    <row r="905" spans="5:17" x14ac:dyDescent="0.25">
      <c r="E905"/>
      <c r="N905"/>
      <c r="O905"/>
      <c r="P905"/>
      <c r="Q905"/>
    </row>
    <row r="906" spans="5:17" x14ac:dyDescent="0.25">
      <c r="E906"/>
      <c r="N906"/>
      <c r="O906"/>
      <c r="P906"/>
      <c r="Q906"/>
    </row>
    <row r="907" spans="5:17" x14ac:dyDescent="0.25">
      <c r="E907"/>
      <c r="N907"/>
      <c r="O907"/>
      <c r="P907"/>
      <c r="Q907"/>
    </row>
    <row r="908" spans="5:17" x14ac:dyDescent="0.25">
      <c r="E908"/>
      <c r="N908"/>
      <c r="O908"/>
      <c r="P908"/>
      <c r="Q908"/>
    </row>
    <row r="909" spans="5:17" x14ac:dyDescent="0.25">
      <c r="E909"/>
      <c r="N909"/>
      <c r="O909"/>
      <c r="P909"/>
      <c r="Q909"/>
    </row>
    <row r="910" spans="5:17" x14ac:dyDescent="0.25">
      <c r="E910"/>
      <c r="N910"/>
      <c r="O910"/>
      <c r="P910"/>
      <c r="Q910"/>
    </row>
    <row r="911" spans="5:17" x14ac:dyDescent="0.25">
      <c r="E911"/>
      <c r="N911"/>
      <c r="O911"/>
      <c r="P911"/>
      <c r="Q911"/>
    </row>
    <row r="912" spans="5:17" x14ac:dyDescent="0.25">
      <c r="E912"/>
      <c r="N912"/>
      <c r="O912"/>
      <c r="P912"/>
      <c r="Q912"/>
    </row>
    <row r="913" spans="5:17" x14ac:dyDescent="0.25">
      <c r="E913"/>
      <c r="N913"/>
      <c r="O913"/>
      <c r="P913"/>
      <c r="Q913"/>
    </row>
    <row r="914" spans="5:17" x14ac:dyDescent="0.25">
      <c r="E914"/>
      <c r="N914"/>
      <c r="O914"/>
      <c r="P914"/>
      <c r="Q914"/>
    </row>
    <row r="915" spans="5:17" x14ac:dyDescent="0.25">
      <c r="E915"/>
      <c r="N915"/>
      <c r="O915"/>
      <c r="P915"/>
      <c r="Q915"/>
    </row>
    <row r="916" spans="5:17" x14ac:dyDescent="0.25">
      <c r="E916"/>
      <c r="N916"/>
      <c r="O916"/>
      <c r="P916"/>
      <c r="Q916"/>
    </row>
    <row r="917" spans="5:17" x14ac:dyDescent="0.25">
      <c r="E917"/>
      <c r="N917"/>
      <c r="O917"/>
      <c r="P917"/>
      <c r="Q917"/>
    </row>
    <row r="918" spans="5:17" x14ac:dyDescent="0.25">
      <c r="E918"/>
      <c r="N918"/>
      <c r="O918"/>
      <c r="P918"/>
      <c r="Q918"/>
    </row>
    <row r="919" spans="5:17" x14ac:dyDescent="0.25">
      <c r="E919"/>
      <c r="N919"/>
      <c r="O919"/>
      <c r="P919"/>
      <c r="Q919"/>
    </row>
    <row r="920" spans="5:17" x14ac:dyDescent="0.25">
      <c r="E920"/>
      <c r="N920"/>
      <c r="O920"/>
      <c r="P920"/>
      <c r="Q920"/>
    </row>
    <row r="921" spans="5:17" x14ac:dyDescent="0.25">
      <c r="E921"/>
      <c r="N921"/>
      <c r="O921"/>
      <c r="P921"/>
      <c r="Q921"/>
    </row>
    <row r="922" spans="5:17" x14ac:dyDescent="0.25">
      <c r="E922"/>
      <c r="N922"/>
      <c r="O922"/>
      <c r="P922"/>
      <c r="Q922"/>
    </row>
    <row r="923" spans="5:17" x14ac:dyDescent="0.25">
      <c r="E923"/>
      <c r="N923"/>
      <c r="O923"/>
      <c r="P923"/>
      <c r="Q923"/>
    </row>
    <row r="924" spans="5:17" x14ac:dyDescent="0.25">
      <c r="E924"/>
      <c r="N924"/>
      <c r="O924"/>
      <c r="P924"/>
      <c r="Q924"/>
    </row>
    <row r="925" spans="5:17" x14ac:dyDescent="0.25">
      <c r="E925"/>
      <c r="N925"/>
      <c r="O925"/>
      <c r="P925"/>
      <c r="Q925"/>
    </row>
    <row r="926" spans="5:17" x14ac:dyDescent="0.25">
      <c r="E926"/>
      <c r="N926"/>
      <c r="O926"/>
      <c r="P926"/>
      <c r="Q926"/>
    </row>
    <row r="927" spans="5:17" x14ac:dyDescent="0.25">
      <c r="E927"/>
      <c r="N927"/>
      <c r="O927"/>
      <c r="P927"/>
      <c r="Q927"/>
    </row>
    <row r="928" spans="5:17" x14ac:dyDescent="0.25">
      <c r="E928"/>
      <c r="N928"/>
      <c r="O928"/>
      <c r="P928"/>
      <c r="Q928"/>
    </row>
    <row r="929" spans="5:17" x14ac:dyDescent="0.25">
      <c r="E929"/>
      <c r="N929"/>
      <c r="O929"/>
      <c r="P929"/>
      <c r="Q929"/>
    </row>
    <row r="930" spans="5:17" x14ac:dyDescent="0.25">
      <c r="E930"/>
      <c r="N930"/>
      <c r="O930"/>
      <c r="P930"/>
      <c r="Q930"/>
    </row>
    <row r="931" spans="5:17" x14ac:dyDescent="0.25">
      <c r="E931"/>
      <c r="N931"/>
      <c r="O931"/>
      <c r="P931"/>
      <c r="Q931"/>
    </row>
    <row r="932" spans="5:17" x14ac:dyDescent="0.25">
      <c r="E932"/>
      <c r="N932"/>
      <c r="O932"/>
      <c r="P932"/>
      <c r="Q932"/>
    </row>
    <row r="933" spans="5:17" x14ac:dyDescent="0.25">
      <c r="E933"/>
      <c r="N933"/>
      <c r="O933"/>
      <c r="P933"/>
      <c r="Q933"/>
    </row>
    <row r="934" spans="5:17" x14ac:dyDescent="0.25">
      <c r="E934"/>
      <c r="N934"/>
      <c r="O934"/>
      <c r="P934"/>
      <c r="Q934"/>
    </row>
    <row r="935" spans="5:17" x14ac:dyDescent="0.25">
      <c r="E935"/>
      <c r="N935"/>
      <c r="O935"/>
      <c r="P935"/>
      <c r="Q935"/>
    </row>
    <row r="936" spans="5:17" x14ac:dyDescent="0.25">
      <c r="E936"/>
      <c r="N936"/>
      <c r="O936"/>
      <c r="P936"/>
      <c r="Q936"/>
    </row>
    <row r="937" spans="5:17" x14ac:dyDescent="0.25">
      <c r="E937"/>
      <c r="N937"/>
      <c r="O937"/>
      <c r="P937"/>
      <c r="Q937"/>
    </row>
    <row r="938" spans="5:17" x14ac:dyDescent="0.25">
      <c r="E938"/>
      <c r="N938"/>
      <c r="O938"/>
      <c r="P938"/>
      <c r="Q938"/>
    </row>
    <row r="939" spans="5:17" x14ac:dyDescent="0.25">
      <c r="E939"/>
      <c r="N939"/>
      <c r="O939"/>
      <c r="P939"/>
      <c r="Q939"/>
    </row>
    <row r="940" spans="5:17" x14ac:dyDescent="0.25">
      <c r="E940"/>
      <c r="N940"/>
      <c r="O940"/>
      <c r="P940"/>
      <c r="Q940"/>
    </row>
    <row r="941" spans="5:17" x14ac:dyDescent="0.25">
      <c r="E941"/>
      <c r="N941"/>
      <c r="O941"/>
      <c r="P941"/>
      <c r="Q941"/>
    </row>
    <row r="942" spans="5:17" x14ac:dyDescent="0.25">
      <c r="E942"/>
      <c r="N942"/>
      <c r="O942"/>
      <c r="P942"/>
      <c r="Q942"/>
    </row>
    <row r="943" spans="5:17" x14ac:dyDescent="0.25">
      <c r="E943"/>
      <c r="N943"/>
      <c r="O943"/>
      <c r="P943"/>
      <c r="Q943"/>
    </row>
    <row r="944" spans="5:17" x14ac:dyDescent="0.25">
      <c r="E944"/>
      <c r="N944"/>
      <c r="O944"/>
      <c r="P944"/>
      <c r="Q944"/>
    </row>
    <row r="945" spans="5:17" x14ac:dyDescent="0.25">
      <c r="E945"/>
      <c r="N945"/>
      <c r="O945"/>
      <c r="P945"/>
      <c r="Q945"/>
    </row>
    <row r="946" spans="5:17" x14ac:dyDescent="0.25">
      <c r="E946"/>
      <c r="N946"/>
      <c r="O946"/>
      <c r="P946"/>
      <c r="Q946"/>
    </row>
    <row r="947" spans="5:17" x14ac:dyDescent="0.25">
      <c r="E947"/>
      <c r="N947"/>
      <c r="O947"/>
      <c r="P947"/>
      <c r="Q947"/>
    </row>
    <row r="948" spans="5:17" x14ac:dyDescent="0.25">
      <c r="E948"/>
      <c r="N948"/>
      <c r="O948"/>
      <c r="P948"/>
      <c r="Q948"/>
    </row>
    <row r="949" spans="5:17" x14ac:dyDescent="0.25">
      <c r="E949"/>
      <c r="N949"/>
      <c r="O949"/>
      <c r="P949"/>
      <c r="Q949"/>
    </row>
    <row r="950" spans="5:17" x14ac:dyDescent="0.25">
      <c r="E950"/>
      <c r="N950"/>
      <c r="O950"/>
      <c r="P950"/>
      <c r="Q950"/>
    </row>
    <row r="951" spans="5:17" x14ac:dyDescent="0.25">
      <c r="E951"/>
      <c r="N951"/>
      <c r="O951"/>
      <c r="P951"/>
      <c r="Q951"/>
    </row>
    <row r="952" spans="5:17" x14ac:dyDescent="0.25">
      <c r="E952"/>
      <c r="N952"/>
      <c r="O952"/>
      <c r="P952"/>
      <c r="Q952"/>
    </row>
    <row r="953" spans="5:17" x14ac:dyDescent="0.25">
      <c r="E953"/>
      <c r="N953"/>
      <c r="O953"/>
      <c r="P953"/>
      <c r="Q953"/>
    </row>
    <row r="954" spans="5:17" x14ac:dyDescent="0.25">
      <c r="E954"/>
      <c r="N954"/>
      <c r="O954"/>
      <c r="P954"/>
      <c r="Q954"/>
    </row>
    <row r="955" spans="5:17" x14ac:dyDescent="0.25">
      <c r="E955"/>
      <c r="N955"/>
      <c r="O955"/>
      <c r="P955"/>
      <c r="Q955"/>
    </row>
    <row r="956" spans="5:17" x14ac:dyDescent="0.25">
      <c r="E956"/>
      <c r="N956"/>
      <c r="O956"/>
      <c r="P956"/>
      <c r="Q956"/>
    </row>
    <row r="957" spans="5:17" x14ac:dyDescent="0.25">
      <c r="E957"/>
      <c r="N957"/>
      <c r="O957"/>
      <c r="P957"/>
      <c r="Q957"/>
    </row>
    <row r="958" spans="5:17" x14ac:dyDescent="0.25">
      <c r="E958"/>
      <c r="N958"/>
      <c r="O958"/>
      <c r="P958"/>
      <c r="Q958"/>
    </row>
    <row r="959" spans="5:17" x14ac:dyDescent="0.25">
      <c r="E959"/>
      <c r="N959"/>
      <c r="O959"/>
      <c r="P959"/>
      <c r="Q959"/>
    </row>
    <row r="960" spans="5:17" x14ac:dyDescent="0.25">
      <c r="E960"/>
      <c r="N960"/>
      <c r="O960"/>
      <c r="P960"/>
      <c r="Q960"/>
    </row>
    <row r="961" spans="5:17" x14ac:dyDescent="0.25">
      <c r="E961"/>
      <c r="N961"/>
      <c r="O961"/>
      <c r="P961"/>
      <c r="Q961"/>
    </row>
    <row r="962" spans="5:17" x14ac:dyDescent="0.25">
      <c r="E962"/>
      <c r="N962"/>
      <c r="O962"/>
      <c r="P962"/>
      <c r="Q962"/>
    </row>
    <row r="963" spans="5:17" x14ac:dyDescent="0.25">
      <c r="E963"/>
      <c r="N963"/>
      <c r="O963"/>
      <c r="P963"/>
      <c r="Q963"/>
    </row>
    <row r="964" spans="5:17" x14ac:dyDescent="0.25">
      <c r="E964"/>
      <c r="N964"/>
      <c r="O964"/>
      <c r="P964"/>
      <c r="Q964"/>
    </row>
    <row r="965" spans="5:17" x14ac:dyDescent="0.25">
      <c r="E965"/>
      <c r="N965"/>
      <c r="O965"/>
      <c r="P965"/>
      <c r="Q965"/>
    </row>
    <row r="966" spans="5:17" x14ac:dyDescent="0.25">
      <c r="E966"/>
      <c r="N966"/>
      <c r="O966"/>
      <c r="P966"/>
      <c r="Q966"/>
    </row>
    <row r="967" spans="5:17" x14ac:dyDescent="0.25">
      <c r="E967"/>
      <c r="N967"/>
      <c r="O967"/>
      <c r="P967"/>
      <c r="Q967"/>
    </row>
    <row r="968" spans="5:17" x14ac:dyDescent="0.25">
      <c r="E968"/>
      <c r="N968"/>
      <c r="O968"/>
      <c r="P968"/>
      <c r="Q968"/>
    </row>
    <row r="969" spans="5:17" x14ac:dyDescent="0.25">
      <c r="E969"/>
      <c r="N969"/>
      <c r="O969"/>
      <c r="P969"/>
      <c r="Q969"/>
    </row>
    <row r="970" spans="5:17" x14ac:dyDescent="0.25">
      <c r="E970"/>
      <c r="N970"/>
      <c r="O970"/>
      <c r="P970"/>
      <c r="Q970"/>
    </row>
    <row r="971" spans="5:17" x14ac:dyDescent="0.25">
      <c r="E971"/>
      <c r="N971"/>
      <c r="O971"/>
      <c r="P971"/>
      <c r="Q971"/>
    </row>
    <row r="972" spans="5:17" x14ac:dyDescent="0.25">
      <c r="E972"/>
      <c r="N972"/>
      <c r="O972"/>
      <c r="P972"/>
      <c r="Q972"/>
    </row>
    <row r="973" spans="5:17" x14ac:dyDescent="0.25">
      <c r="E973"/>
      <c r="N973"/>
      <c r="O973"/>
      <c r="P973"/>
      <c r="Q973"/>
    </row>
    <row r="974" spans="5:17" x14ac:dyDescent="0.25">
      <c r="E974"/>
      <c r="N974"/>
      <c r="O974"/>
      <c r="P974"/>
      <c r="Q974"/>
    </row>
    <row r="975" spans="5:17" x14ac:dyDescent="0.25">
      <c r="E975"/>
      <c r="N975"/>
      <c r="O975"/>
      <c r="P975"/>
      <c r="Q975"/>
    </row>
    <row r="976" spans="5:17" x14ac:dyDescent="0.25">
      <c r="E976"/>
      <c r="N976"/>
      <c r="O976"/>
      <c r="P976"/>
      <c r="Q976"/>
    </row>
    <row r="977" spans="5:17" x14ac:dyDescent="0.25">
      <c r="E977"/>
      <c r="N977"/>
      <c r="O977"/>
      <c r="P977"/>
      <c r="Q977"/>
    </row>
    <row r="978" spans="5:17" x14ac:dyDescent="0.25">
      <c r="E978"/>
      <c r="N978"/>
      <c r="O978"/>
      <c r="P978"/>
      <c r="Q978"/>
    </row>
    <row r="979" spans="5:17" x14ac:dyDescent="0.25">
      <c r="E979"/>
      <c r="N979"/>
      <c r="O979"/>
      <c r="P979"/>
      <c r="Q979"/>
    </row>
    <row r="980" spans="5:17" x14ac:dyDescent="0.25">
      <c r="E980"/>
      <c r="N980"/>
      <c r="O980"/>
      <c r="P980"/>
      <c r="Q980"/>
    </row>
    <row r="981" spans="5:17" x14ac:dyDescent="0.25">
      <c r="E981"/>
      <c r="N981"/>
      <c r="O981"/>
      <c r="P981"/>
      <c r="Q981"/>
    </row>
    <row r="982" spans="5:17" x14ac:dyDescent="0.25">
      <c r="E982"/>
      <c r="N982"/>
      <c r="O982"/>
      <c r="P982"/>
      <c r="Q982"/>
    </row>
    <row r="983" spans="5:17" x14ac:dyDescent="0.25">
      <c r="E983"/>
      <c r="N983"/>
      <c r="O983"/>
      <c r="P983"/>
      <c r="Q983"/>
    </row>
    <row r="984" spans="5:17" x14ac:dyDescent="0.25">
      <c r="E984"/>
      <c r="N984"/>
      <c r="O984"/>
      <c r="P984"/>
      <c r="Q984"/>
    </row>
    <row r="985" spans="5:17" x14ac:dyDescent="0.25">
      <c r="E985"/>
      <c r="N985"/>
      <c r="O985"/>
      <c r="P985"/>
      <c r="Q985"/>
    </row>
    <row r="986" spans="5:17" x14ac:dyDescent="0.25">
      <c r="E986"/>
      <c r="N986"/>
      <c r="O986"/>
      <c r="P986"/>
      <c r="Q986"/>
    </row>
    <row r="987" spans="5:17" x14ac:dyDescent="0.25">
      <c r="E987"/>
      <c r="N987"/>
      <c r="O987"/>
      <c r="P987"/>
      <c r="Q987"/>
    </row>
    <row r="988" spans="5:17" x14ac:dyDescent="0.25">
      <c r="E988"/>
      <c r="N988"/>
      <c r="O988"/>
      <c r="P988"/>
      <c r="Q988"/>
    </row>
    <row r="989" spans="5:17" x14ac:dyDescent="0.25">
      <c r="E989"/>
      <c r="N989"/>
      <c r="O989"/>
      <c r="P989"/>
      <c r="Q989"/>
    </row>
    <row r="990" spans="5:17" x14ac:dyDescent="0.25">
      <c r="E990"/>
      <c r="N990"/>
      <c r="O990"/>
      <c r="P990"/>
      <c r="Q990"/>
    </row>
    <row r="991" spans="5:17" x14ac:dyDescent="0.25">
      <c r="E991"/>
      <c r="N991"/>
      <c r="O991"/>
      <c r="P991"/>
      <c r="Q991"/>
    </row>
    <row r="992" spans="5:17" x14ac:dyDescent="0.25">
      <c r="E992"/>
      <c r="N992"/>
      <c r="O992"/>
      <c r="P992"/>
      <c r="Q992"/>
    </row>
    <row r="993" spans="5:17" x14ac:dyDescent="0.25">
      <c r="E993"/>
      <c r="N993"/>
      <c r="O993"/>
      <c r="P993"/>
      <c r="Q993"/>
    </row>
    <row r="994" spans="5:17" x14ac:dyDescent="0.25">
      <c r="E994"/>
      <c r="N994"/>
      <c r="O994"/>
      <c r="P994"/>
      <c r="Q994"/>
    </row>
    <row r="995" spans="5:17" x14ac:dyDescent="0.25">
      <c r="E995"/>
      <c r="N995"/>
      <c r="O995"/>
      <c r="P995"/>
      <c r="Q995"/>
    </row>
    <row r="996" spans="5:17" x14ac:dyDescent="0.25">
      <c r="E996"/>
      <c r="N996"/>
      <c r="O996"/>
      <c r="P996"/>
      <c r="Q996"/>
    </row>
    <row r="997" spans="5:17" x14ac:dyDescent="0.25">
      <c r="E997"/>
      <c r="N997"/>
      <c r="O997"/>
      <c r="P997"/>
      <c r="Q997"/>
    </row>
    <row r="998" spans="5:17" x14ac:dyDescent="0.25">
      <c r="E998"/>
      <c r="N998"/>
      <c r="O998"/>
      <c r="P998"/>
      <c r="Q998"/>
    </row>
    <row r="999" spans="5:17" x14ac:dyDescent="0.25">
      <c r="E999"/>
      <c r="N999"/>
      <c r="O999"/>
      <c r="P999"/>
      <c r="Q999"/>
    </row>
    <row r="1000" spans="5:17" x14ac:dyDescent="0.25">
      <c r="E1000"/>
      <c r="N1000"/>
      <c r="O1000"/>
      <c r="P1000"/>
      <c r="Q1000"/>
    </row>
    <row r="1001" spans="5:17" x14ac:dyDescent="0.25">
      <c r="E1001"/>
      <c r="N1001"/>
      <c r="O1001"/>
      <c r="P1001"/>
      <c r="Q1001"/>
    </row>
    <row r="1002" spans="5:17" x14ac:dyDescent="0.25">
      <c r="E1002"/>
      <c r="N1002"/>
      <c r="O1002"/>
      <c r="P1002"/>
      <c r="Q1002"/>
    </row>
    <row r="1003" spans="5:17" x14ac:dyDescent="0.25">
      <c r="E1003"/>
      <c r="N1003"/>
      <c r="O1003"/>
      <c r="P1003"/>
      <c r="Q1003"/>
    </row>
    <row r="1004" spans="5:17" x14ac:dyDescent="0.25">
      <c r="E1004"/>
      <c r="N1004"/>
      <c r="O1004"/>
      <c r="P1004"/>
      <c r="Q1004"/>
    </row>
    <row r="1005" spans="5:17" x14ac:dyDescent="0.25">
      <c r="E1005"/>
      <c r="N1005"/>
      <c r="O1005"/>
      <c r="P1005"/>
      <c r="Q1005"/>
    </row>
    <row r="1006" spans="5:17" x14ac:dyDescent="0.25">
      <c r="E1006"/>
      <c r="N1006"/>
      <c r="O1006"/>
      <c r="P1006"/>
      <c r="Q1006"/>
    </row>
  </sheetData>
  <dataValidations count="2">
    <dataValidation type="list" allowBlank="1" showInputMessage="1" showErrorMessage="1" sqref="K43:K60 F4:F705">
      <formula1>Статусы</formula1>
    </dataValidation>
    <dataValidation type="list" allowBlank="1" showInputMessage="1" showErrorMessage="1" sqref="N4:N949">
      <formula1>Локации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ImportFilesData">
                <anchor moveWithCells="1" sizeWithCells="1">
                  <from>
                    <xdr:col>4</xdr:col>
                    <xdr:colOff>247650</xdr:colOff>
                    <xdr:row>1</xdr:row>
                    <xdr:rowOff>342900</xdr:rowOff>
                  </from>
                  <to>
                    <xdr:col>4</xdr:col>
                    <xdr:colOff>2238375</xdr:colOff>
                    <xdr:row>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UpdateMaps">
                <anchor moveWithCells="1" sizeWithCells="1">
                  <from>
                    <xdr:col>6</xdr:col>
                    <xdr:colOff>495300</xdr:colOff>
                    <xdr:row>1</xdr:row>
                    <xdr:rowOff>257175</xdr:rowOff>
                  </from>
                  <to>
                    <xdr:col>6</xdr:col>
                    <xdr:colOff>2476500</xdr:colOff>
                    <xdr:row>1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CheckRegistry">
                <anchor moveWithCells="1" sizeWithCells="1">
                  <from>
                    <xdr:col>7</xdr:col>
                    <xdr:colOff>333375</xdr:colOff>
                    <xdr:row>1</xdr:row>
                    <xdr:rowOff>419100</xdr:rowOff>
                  </from>
                  <to>
                    <xdr:col>7</xdr:col>
                    <xdr:colOff>1885950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abSelected="1" topLeftCell="P38" zoomScale="70" zoomScaleNormal="70" workbookViewId="0">
      <selection activeCell="BN63" sqref="BN63"/>
    </sheetView>
  </sheetViews>
  <sheetFormatPr defaultColWidth="2.7109375" defaultRowHeight="15" customHeight="1" x14ac:dyDescent="0.25"/>
  <cols>
    <col min="1" max="16384" width="2.7109375" style="43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ColWidth="2.7109375" defaultRowHeight="15" customHeight="1" x14ac:dyDescent="0.25"/>
  <cols>
    <col min="1" max="16384" width="2.7109375" style="43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/>
  </sheetViews>
  <sheetFormatPr defaultColWidth="2.7109375" defaultRowHeight="15" customHeight="1" x14ac:dyDescent="0.25"/>
  <cols>
    <col min="1" max="16384" width="2.7109375" style="43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L124"/>
  <sheetViews>
    <sheetView workbookViewId="0">
      <pane ySplit="3" topLeftCell="A4" activePane="bottomLeft" state="frozen"/>
      <selection pane="bottomLeft" activeCell="F23" sqref="F23"/>
    </sheetView>
  </sheetViews>
  <sheetFormatPr defaultRowHeight="15" x14ac:dyDescent="0.25"/>
  <cols>
    <col min="1" max="1" width="4.140625" customWidth="1"/>
    <col min="2" max="2" width="11.5703125" style="10" customWidth="1"/>
    <col min="3" max="3" width="11.7109375" style="10" customWidth="1"/>
    <col min="4" max="4" width="13.28515625" customWidth="1"/>
    <col min="5" max="5" width="3.7109375" customWidth="1"/>
    <col min="6" max="6" width="25.7109375" customWidth="1"/>
    <col min="7" max="7" width="4" customWidth="1"/>
    <col min="8" max="8" width="25" customWidth="1"/>
    <col min="9" max="9" width="72.140625" customWidth="1"/>
    <col min="11" max="11" width="3.7109375" customWidth="1"/>
    <col min="12" max="12" width="14.140625" customWidth="1"/>
  </cols>
  <sheetData>
    <row r="1" spans="2:12" ht="15.75" thickBot="1" x14ac:dyDescent="0.3"/>
    <row r="2" spans="2:12" x14ac:dyDescent="0.25">
      <c r="B2" s="44" t="s">
        <v>106</v>
      </c>
      <c r="C2" s="45"/>
      <c r="D2" s="46"/>
      <c r="F2" s="47" t="s">
        <v>100</v>
      </c>
      <c r="H2" s="49" t="s">
        <v>105</v>
      </c>
      <c r="I2" s="50"/>
      <c r="J2" s="51"/>
      <c r="L2" s="52" t="s">
        <v>176</v>
      </c>
    </row>
    <row r="3" spans="2:12" ht="15.75" thickBot="1" x14ac:dyDescent="0.3">
      <c r="B3" s="20" t="s">
        <v>103</v>
      </c>
      <c r="C3" s="21" t="s">
        <v>102</v>
      </c>
      <c r="D3" s="22" t="s">
        <v>104</v>
      </c>
      <c r="F3" s="48"/>
      <c r="H3" s="20" t="s">
        <v>1</v>
      </c>
      <c r="I3" s="21" t="s">
        <v>101</v>
      </c>
      <c r="J3" s="23" t="s">
        <v>107</v>
      </c>
      <c r="L3" s="48"/>
    </row>
    <row r="4" spans="2:12" x14ac:dyDescent="0.25">
      <c r="B4" s="53" t="s">
        <v>32</v>
      </c>
      <c r="C4" s="16" t="s">
        <v>99</v>
      </c>
      <c r="D4" t="s">
        <v>108</v>
      </c>
      <c r="F4" s="38" t="s">
        <v>15</v>
      </c>
      <c r="H4" s="29" t="s">
        <v>21</v>
      </c>
      <c r="I4" s="30" t="str">
        <f>CONCATENATE($I$14,I15)</f>
        <v>d:\projects\BrokerRegistry\Сводный отчет Нагатино ДВ - копия.xlsx</v>
      </c>
      <c r="J4" s="31"/>
      <c r="L4" s="27" t="s">
        <v>99</v>
      </c>
    </row>
    <row r="5" spans="2:12" x14ac:dyDescent="0.25">
      <c r="B5" s="53" t="s">
        <v>33</v>
      </c>
      <c r="C5" s="16" t="s">
        <v>99</v>
      </c>
      <c r="D5" t="s">
        <v>109</v>
      </c>
      <c r="F5" s="39" t="s">
        <v>29</v>
      </c>
      <c r="H5" s="32" t="s">
        <v>31</v>
      </c>
      <c r="I5" s="33" t="str">
        <f t="shared" ref="I5:I6" si="0">CONCATENATE($I$14,I16)</f>
        <v>d:\projects\BrokerRegistry\Сводный отчет Нагатино Мурадян Д - копия.xlsx</v>
      </c>
      <c r="J5" s="34"/>
      <c r="L5" s="28" t="s">
        <v>174</v>
      </c>
    </row>
    <row r="6" spans="2:12" x14ac:dyDescent="0.25">
      <c r="B6" s="54" t="s">
        <v>34</v>
      </c>
      <c r="C6" s="16" t="s">
        <v>99</v>
      </c>
      <c r="D6" t="s">
        <v>110</v>
      </c>
      <c r="F6" s="17" t="s">
        <v>97</v>
      </c>
      <c r="H6" s="32" t="s">
        <v>30</v>
      </c>
      <c r="I6" s="33" t="str">
        <f t="shared" si="0"/>
        <v>d:\projects\BrokerRegistry\Сводный отчет НагатиноВВ - копия.xlsx</v>
      </c>
      <c r="J6" s="34"/>
      <c r="L6" s="28" t="s">
        <v>175</v>
      </c>
    </row>
    <row r="7" spans="2:12" x14ac:dyDescent="0.25">
      <c r="B7" s="55" t="s">
        <v>35</v>
      </c>
      <c r="C7" s="16" t="s">
        <v>99</v>
      </c>
      <c r="D7" t="s">
        <v>111</v>
      </c>
      <c r="F7" s="39" t="s">
        <v>98</v>
      </c>
      <c r="H7" s="32"/>
      <c r="I7" s="33"/>
      <c r="J7" s="34"/>
      <c r="L7" s="28"/>
    </row>
    <row r="8" spans="2:12" x14ac:dyDescent="0.25">
      <c r="B8" s="66" t="s">
        <v>36</v>
      </c>
      <c r="C8" s="16" t="s">
        <v>99</v>
      </c>
      <c r="D8" t="s">
        <v>112</v>
      </c>
      <c r="F8" s="18" t="s">
        <v>24</v>
      </c>
      <c r="H8" s="32"/>
      <c r="I8" s="33"/>
      <c r="J8" s="34"/>
      <c r="L8" s="28"/>
    </row>
    <row r="9" spans="2:12" x14ac:dyDescent="0.25">
      <c r="B9" s="66" t="s">
        <v>37</v>
      </c>
      <c r="C9" s="16" t="s">
        <v>99</v>
      </c>
      <c r="D9" t="s">
        <v>113</v>
      </c>
      <c r="F9" s="40" t="s">
        <v>177</v>
      </c>
      <c r="H9" s="32"/>
      <c r="I9" s="33"/>
      <c r="J9" s="34"/>
      <c r="L9" s="28"/>
    </row>
    <row r="10" spans="2:12" ht="15.75" thickBot="1" x14ac:dyDescent="0.3">
      <c r="B10" s="66" t="s">
        <v>38</v>
      </c>
      <c r="C10" s="16" t="s">
        <v>99</v>
      </c>
      <c r="D10" t="s">
        <v>114</v>
      </c>
      <c r="F10" s="40" t="s">
        <v>178</v>
      </c>
      <c r="H10" s="35"/>
      <c r="I10" s="36"/>
      <c r="J10" s="37"/>
      <c r="L10" s="19"/>
    </row>
    <row r="11" spans="2:12" x14ac:dyDescent="0.25">
      <c r="B11" s="66" t="s">
        <v>39</v>
      </c>
      <c r="C11" s="16" t="s">
        <v>99</v>
      </c>
      <c r="D11" t="s">
        <v>115</v>
      </c>
      <c r="F11" s="18" t="s">
        <v>23</v>
      </c>
    </row>
    <row r="12" spans="2:12" ht="15.75" thickBot="1" x14ac:dyDescent="0.3">
      <c r="B12" s="53" t="s">
        <v>40</v>
      </c>
      <c r="C12" s="16" t="s">
        <v>99</v>
      </c>
      <c r="D12" t="s">
        <v>480</v>
      </c>
      <c r="F12" s="19" t="s">
        <v>96</v>
      </c>
    </row>
    <row r="13" spans="2:12" x14ac:dyDescent="0.25">
      <c r="B13" s="53" t="s">
        <v>41</v>
      </c>
      <c r="C13" s="16" t="s">
        <v>99</v>
      </c>
      <c r="D13" t="s">
        <v>481</v>
      </c>
    </row>
    <row r="14" spans="2:12" x14ac:dyDescent="0.25">
      <c r="B14" s="53" t="s">
        <v>26</v>
      </c>
      <c r="C14" s="16" t="s">
        <v>99</v>
      </c>
      <c r="D14" t="s">
        <v>482</v>
      </c>
      <c r="I14" t="s">
        <v>289</v>
      </c>
    </row>
    <row r="15" spans="2:12" x14ac:dyDescent="0.25">
      <c r="B15" s="54" t="s">
        <v>27</v>
      </c>
      <c r="C15" s="16" t="s">
        <v>99</v>
      </c>
      <c r="D15" t="s">
        <v>116</v>
      </c>
      <c r="I15" t="s">
        <v>286</v>
      </c>
    </row>
    <row r="16" spans="2:12" x14ac:dyDescent="0.25">
      <c r="B16" s="53" t="s">
        <v>42</v>
      </c>
      <c r="C16" s="16" t="s">
        <v>99</v>
      </c>
      <c r="D16" t="s">
        <v>117</v>
      </c>
      <c r="I16" t="s">
        <v>288</v>
      </c>
    </row>
    <row r="17" spans="2:9" x14ac:dyDescent="0.25">
      <c r="B17" s="53" t="s">
        <v>43</v>
      </c>
      <c r="C17" s="16" t="s">
        <v>99</v>
      </c>
      <c r="D17" t="s">
        <v>118</v>
      </c>
      <c r="I17" t="s">
        <v>287</v>
      </c>
    </row>
    <row r="18" spans="2:9" x14ac:dyDescent="0.25">
      <c r="B18" s="56" t="s">
        <v>44</v>
      </c>
      <c r="C18" s="16" t="s">
        <v>99</v>
      </c>
      <c r="D18" t="s">
        <v>119</v>
      </c>
    </row>
    <row r="19" spans="2:9" x14ac:dyDescent="0.25">
      <c r="B19" s="53" t="s">
        <v>45</v>
      </c>
      <c r="C19" s="16" t="s">
        <v>99</v>
      </c>
      <c r="D19" t="s">
        <v>120</v>
      </c>
    </row>
    <row r="20" spans="2:9" x14ac:dyDescent="0.25">
      <c r="B20" s="53" t="s">
        <v>46</v>
      </c>
      <c r="C20" s="16" t="s">
        <v>99</v>
      </c>
      <c r="D20" t="s">
        <v>121</v>
      </c>
    </row>
    <row r="21" spans="2:9" x14ac:dyDescent="0.25">
      <c r="B21" s="57" t="s">
        <v>47</v>
      </c>
      <c r="C21" s="16" t="s">
        <v>99</v>
      </c>
      <c r="D21" t="s">
        <v>122</v>
      </c>
    </row>
    <row r="22" spans="2:9" x14ac:dyDescent="0.25">
      <c r="B22" s="56" t="s">
        <v>48</v>
      </c>
      <c r="C22" s="16" t="s">
        <v>99</v>
      </c>
      <c r="D22" t="s">
        <v>123</v>
      </c>
    </row>
    <row r="23" spans="2:9" x14ac:dyDescent="0.25">
      <c r="B23" s="54" t="s">
        <v>49</v>
      </c>
      <c r="C23" s="16" t="s">
        <v>99</v>
      </c>
      <c r="D23" t="s">
        <v>124</v>
      </c>
    </row>
    <row r="24" spans="2:9" x14ac:dyDescent="0.25">
      <c r="B24" s="53" t="s">
        <v>50</v>
      </c>
      <c r="C24" s="16" t="s">
        <v>99</v>
      </c>
      <c r="D24" t="s">
        <v>125</v>
      </c>
    </row>
    <row r="25" spans="2:9" x14ac:dyDescent="0.25">
      <c r="B25" s="53" t="s">
        <v>51</v>
      </c>
      <c r="C25" s="16" t="s">
        <v>99</v>
      </c>
      <c r="D25" t="s">
        <v>126</v>
      </c>
    </row>
    <row r="26" spans="2:9" x14ac:dyDescent="0.25">
      <c r="B26" s="56" t="s">
        <v>52</v>
      </c>
      <c r="C26" s="16" t="s">
        <v>99</v>
      </c>
      <c r="D26" t="s">
        <v>127</v>
      </c>
    </row>
    <row r="27" spans="2:9" x14ac:dyDescent="0.25">
      <c r="B27" s="56" t="s">
        <v>53</v>
      </c>
      <c r="C27" s="16" t="s">
        <v>99</v>
      </c>
      <c r="D27" t="s">
        <v>128</v>
      </c>
    </row>
    <row r="28" spans="2:9" x14ac:dyDescent="0.25">
      <c r="B28" s="53" t="s">
        <v>54</v>
      </c>
      <c r="C28" s="16" t="s">
        <v>99</v>
      </c>
      <c r="D28" t="s">
        <v>129</v>
      </c>
    </row>
    <row r="29" spans="2:9" x14ac:dyDescent="0.25">
      <c r="B29" s="57" t="s">
        <v>55</v>
      </c>
      <c r="C29" s="16" t="s">
        <v>99</v>
      </c>
      <c r="D29" t="s">
        <v>130</v>
      </c>
    </row>
    <row r="30" spans="2:9" x14ac:dyDescent="0.25">
      <c r="B30" s="53" t="s">
        <v>56</v>
      </c>
      <c r="C30" s="16" t="s">
        <v>99</v>
      </c>
      <c r="D30" t="s">
        <v>131</v>
      </c>
    </row>
    <row r="31" spans="2:9" x14ac:dyDescent="0.25">
      <c r="B31" s="53" t="s">
        <v>57</v>
      </c>
      <c r="C31" s="16" t="s">
        <v>99</v>
      </c>
      <c r="D31" t="s">
        <v>132</v>
      </c>
    </row>
    <row r="32" spans="2:9" x14ac:dyDescent="0.25">
      <c r="B32" s="53" t="s">
        <v>58</v>
      </c>
      <c r="C32" s="16" t="s">
        <v>99</v>
      </c>
      <c r="D32" t="s">
        <v>133</v>
      </c>
    </row>
    <row r="33" spans="2:4" x14ac:dyDescent="0.25">
      <c r="B33" s="53" t="s">
        <v>59</v>
      </c>
      <c r="C33" s="16" t="s">
        <v>99</v>
      </c>
      <c r="D33" t="s">
        <v>134</v>
      </c>
    </row>
    <row r="34" spans="2:4" x14ac:dyDescent="0.25">
      <c r="B34" s="53" t="s">
        <v>60</v>
      </c>
      <c r="C34" s="16" t="s">
        <v>99</v>
      </c>
      <c r="D34" t="s">
        <v>135</v>
      </c>
    </row>
    <row r="35" spans="2:4" x14ac:dyDescent="0.25">
      <c r="B35" s="53" t="s">
        <v>61</v>
      </c>
      <c r="C35" s="16" t="s">
        <v>99</v>
      </c>
      <c r="D35" t="s">
        <v>136</v>
      </c>
    </row>
    <row r="36" spans="2:4" x14ac:dyDescent="0.25">
      <c r="B36" s="53" t="s">
        <v>62</v>
      </c>
      <c r="C36" s="16" t="s">
        <v>99</v>
      </c>
      <c r="D36" t="s">
        <v>137</v>
      </c>
    </row>
    <row r="37" spans="2:4" x14ac:dyDescent="0.25">
      <c r="B37" s="56" t="s">
        <v>63</v>
      </c>
      <c r="C37" s="16" t="s">
        <v>99</v>
      </c>
      <c r="D37" t="s">
        <v>138</v>
      </c>
    </row>
    <row r="38" spans="2:4" x14ac:dyDescent="0.25">
      <c r="B38" s="56" t="s">
        <v>64</v>
      </c>
      <c r="C38" s="16" t="s">
        <v>99</v>
      </c>
      <c r="D38" t="s">
        <v>139</v>
      </c>
    </row>
    <row r="39" spans="2:4" x14ac:dyDescent="0.25">
      <c r="B39" s="53" t="s">
        <v>65</v>
      </c>
      <c r="C39" s="16" t="s">
        <v>99</v>
      </c>
      <c r="D39" t="s">
        <v>140</v>
      </c>
    </row>
    <row r="40" spans="2:4" x14ac:dyDescent="0.25">
      <c r="B40" s="57" t="s">
        <v>66</v>
      </c>
      <c r="C40" s="16" t="s">
        <v>99</v>
      </c>
      <c r="D40" t="s">
        <v>141</v>
      </c>
    </row>
    <row r="41" spans="2:4" x14ac:dyDescent="0.25">
      <c r="B41" s="56" t="s">
        <v>67</v>
      </c>
      <c r="C41" s="16" t="s">
        <v>99</v>
      </c>
      <c r="D41" t="s">
        <v>142</v>
      </c>
    </row>
    <row r="42" spans="2:4" x14ac:dyDescent="0.25">
      <c r="B42" s="53" t="s">
        <v>68</v>
      </c>
      <c r="C42" s="16" t="s">
        <v>99</v>
      </c>
      <c r="D42" t="s">
        <v>143</v>
      </c>
    </row>
    <row r="43" spans="2:4" x14ac:dyDescent="0.25">
      <c r="B43" s="54" t="s">
        <v>69</v>
      </c>
      <c r="C43" s="16" t="s">
        <v>99</v>
      </c>
      <c r="D43" t="s">
        <v>144</v>
      </c>
    </row>
    <row r="44" spans="2:4" x14ac:dyDescent="0.25">
      <c r="B44" s="53" t="s">
        <v>70</v>
      </c>
      <c r="C44" s="16" t="s">
        <v>99</v>
      </c>
      <c r="D44" t="s">
        <v>145</v>
      </c>
    </row>
    <row r="45" spans="2:4" x14ac:dyDescent="0.25">
      <c r="B45" s="54" t="s">
        <v>71</v>
      </c>
      <c r="C45" s="16" t="s">
        <v>99</v>
      </c>
      <c r="D45" t="s">
        <v>146</v>
      </c>
    </row>
    <row r="46" spans="2:4" x14ac:dyDescent="0.25">
      <c r="B46" s="53" t="s">
        <v>72</v>
      </c>
      <c r="C46" s="16" t="s">
        <v>99</v>
      </c>
      <c r="D46" t="s">
        <v>147</v>
      </c>
    </row>
    <row r="47" spans="2:4" x14ac:dyDescent="0.25">
      <c r="B47" s="53" t="s">
        <v>73</v>
      </c>
      <c r="C47" s="16" t="s">
        <v>99</v>
      </c>
      <c r="D47" t="s">
        <v>148</v>
      </c>
    </row>
    <row r="48" spans="2:4" x14ac:dyDescent="0.25">
      <c r="B48" s="56" t="s">
        <v>74</v>
      </c>
      <c r="C48" s="16" t="s">
        <v>99</v>
      </c>
      <c r="D48" t="s">
        <v>149</v>
      </c>
    </row>
    <row r="49" spans="2:4" x14ac:dyDescent="0.25">
      <c r="B49" s="53" t="s">
        <v>75</v>
      </c>
      <c r="C49" s="16" t="s">
        <v>99</v>
      </c>
      <c r="D49" t="s">
        <v>150</v>
      </c>
    </row>
    <row r="50" spans="2:4" x14ac:dyDescent="0.25">
      <c r="B50" s="56" t="s">
        <v>76</v>
      </c>
      <c r="C50" s="16" t="s">
        <v>99</v>
      </c>
      <c r="D50" t="s">
        <v>151</v>
      </c>
    </row>
    <row r="51" spans="2:4" x14ac:dyDescent="0.25">
      <c r="B51" s="53" t="s">
        <v>77</v>
      </c>
      <c r="C51" s="16" t="s">
        <v>99</v>
      </c>
      <c r="D51" t="s">
        <v>152</v>
      </c>
    </row>
    <row r="52" spans="2:4" x14ac:dyDescent="0.25">
      <c r="B52" s="53" t="s">
        <v>78</v>
      </c>
      <c r="C52" s="16" t="s">
        <v>99</v>
      </c>
      <c r="D52" t="s">
        <v>153</v>
      </c>
    </row>
    <row r="53" spans="2:4" x14ac:dyDescent="0.25">
      <c r="B53" s="57" t="s">
        <v>79</v>
      </c>
      <c r="C53" s="16" t="s">
        <v>99</v>
      </c>
      <c r="D53" t="s">
        <v>154</v>
      </c>
    </row>
    <row r="54" spans="2:4" x14ac:dyDescent="0.25">
      <c r="B54" s="57" t="s">
        <v>80</v>
      </c>
      <c r="C54" s="16" t="s">
        <v>99</v>
      </c>
      <c r="D54" t="s">
        <v>155</v>
      </c>
    </row>
    <row r="55" spans="2:4" x14ac:dyDescent="0.25">
      <c r="B55" s="53" t="s">
        <v>81</v>
      </c>
      <c r="C55" s="16" t="s">
        <v>99</v>
      </c>
      <c r="D55" t="s">
        <v>156</v>
      </c>
    </row>
    <row r="56" spans="2:4" x14ac:dyDescent="0.25">
      <c r="B56" s="53" t="s">
        <v>82</v>
      </c>
      <c r="C56" s="16" t="s">
        <v>99</v>
      </c>
      <c r="D56" t="s">
        <v>157</v>
      </c>
    </row>
    <row r="57" spans="2:4" x14ac:dyDescent="0.25">
      <c r="B57" s="53" t="s">
        <v>83</v>
      </c>
      <c r="C57" s="16" t="s">
        <v>99</v>
      </c>
      <c r="D57" t="s">
        <v>158</v>
      </c>
    </row>
    <row r="58" spans="2:4" x14ac:dyDescent="0.25">
      <c r="B58" s="53" t="s">
        <v>84</v>
      </c>
      <c r="C58" s="16" t="s">
        <v>99</v>
      </c>
      <c r="D58" t="s">
        <v>159</v>
      </c>
    </row>
    <row r="59" spans="2:4" x14ac:dyDescent="0.25">
      <c r="B59" s="58" t="s">
        <v>179</v>
      </c>
      <c r="C59" s="16" t="s">
        <v>99</v>
      </c>
      <c r="D59" t="s">
        <v>160</v>
      </c>
    </row>
    <row r="60" spans="2:4" x14ac:dyDescent="0.25">
      <c r="B60" s="54" t="s">
        <v>85</v>
      </c>
      <c r="C60" s="16" t="s">
        <v>99</v>
      </c>
      <c r="D60" t="s">
        <v>161</v>
      </c>
    </row>
    <row r="61" spans="2:4" x14ac:dyDescent="0.25">
      <c r="B61" s="53" t="s">
        <v>86</v>
      </c>
      <c r="C61" s="16" t="s">
        <v>99</v>
      </c>
      <c r="D61" t="s">
        <v>162</v>
      </c>
    </row>
    <row r="62" spans="2:4" x14ac:dyDescent="0.25">
      <c r="B62" s="57" t="s">
        <v>87</v>
      </c>
      <c r="C62" s="16" t="s">
        <v>99</v>
      </c>
      <c r="D62" t="s">
        <v>163</v>
      </c>
    </row>
    <row r="63" spans="2:4" x14ac:dyDescent="0.25">
      <c r="B63" s="54" t="s">
        <v>88</v>
      </c>
      <c r="C63" s="16" t="s">
        <v>99</v>
      </c>
      <c r="D63" t="s">
        <v>164</v>
      </c>
    </row>
    <row r="64" spans="2:4" x14ac:dyDescent="0.25">
      <c r="B64" s="53" t="s">
        <v>89</v>
      </c>
      <c r="C64" s="16" t="s">
        <v>99</v>
      </c>
      <c r="D64" t="s">
        <v>165</v>
      </c>
    </row>
    <row r="65" spans="2:4" x14ac:dyDescent="0.25">
      <c r="B65" s="53" t="s">
        <v>90</v>
      </c>
      <c r="C65" s="16" t="s">
        <v>99</v>
      </c>
      <c r="D65" t="s">
        <v>166</v>
      </c>
    </row>
    <row r="66" spans="2:4" x14ac:dyDescent="0.25">
      <c r="B66" s="53" t="s">
        <v>91</v>
      </c>
      <c r="C66" s="16" t="s">
        <v>99</v>
      </c>
      <c r="D66" t="s">
        <v>167</v>
      </c>
    </row>
    <row r="67" spans="2:4" x14ac:dyDescent="0.25">
      <c r="B67" s="53" t="s">
        <v>92</v>
      </c>
      <c r="C67" s="16" t="s">
        <v>99</v>
      </c>
      <c r="D67" t="s">
        <v>168</v>
      </c>
    </row>
    <row r="68" spans="2:4" x14ac:dyDescent="0.25">
      <c r="B68" s="53" t="s">
        <v>93</v>
      </c>
      <c r="C68" s="16" t="s">
        <v>99</v>
      </c>
      <c r="D68" t="s">
        <v>169</v>
      </c>
    </row>
    <row r="69" spans="2:4" x14ac:dyDescent="0.25">
      <c r="B69" s="56" t="s">
        <v>94</v>
      </c>
      <c r="C69" s="16" t="s">
        <v>99</v>
      </c>
      <c r="D69" t="s">
        <v>170</v>
      </c>
    </row>
    <row r="70" spans="2:4" x14ac:dyDescent="0.25">
      <c r="B70" s="59" t="s">
        <v>95</v>
      </c>
      <c r="C70" s="16" t="s">
        <v>99</v>
      </c>
      <c r="D70" t="s">
        <v>171</v>
      </c>
    </row>
    <row r="71" spans="2:4" x14ac:dyDescent="0.25">
      <c r="B71" s="58" t="s">
        <v>172</v>
      </c>
      <c r="C71" s="16" t="s">
        <v>99</v>
      </c>
      <c r="D71" t="s">
        <v>173</v>
      </c>
    </row>
    <row r="72" spans="2:4" x14ac:dyDescent="0.25">
      <c r="B72" s="60" t="s">
        <v>180</v>
      </c>
      <c r="C72" s="16" t="s">
        <v>99</v>
      </c>
      <c r="D72" t="s">
        <v>181</v>
      </c>
    </row>
    <row r="73" spans="2:4" x14ac:dyDescent="0.25">
      <c r="B73" s="61" t="s">
        <v>182</v>
      </c>
      <c r="C73" s="16" t="s">
        <v>99</v>
      </c>
      <c r="D73" t="s">
        <v>183</v>
      </c>
    </row>
    <row r="74" spans="2:4" x14ac:dyDescent="0.25">
      <c r="B74" s="61" t="s">
        <v>184</v>
      </c>
      <c r="C74" s="16" t="s">
        <v>99</v>
      </c>
      <c r="D74" t="s">
        <v>185</v>
      </c>
    </row>
    <row r="75" spans="2:4" x14ac:dyDescent="0.25">
      <c r="B75" s="62" t="s">
        <v>186</v>
      </c>
      <c r="C75" s="16" t="s">
        <v>99</v>
      </c>
      <c r="D75" t="s">
        <v>187</v>
      </c>
    </row>
    <row r="76" spans="2:4" x14ac:dyDescent="0.25">
      <c r="B76" s="62" t="s">
        <v>188</v>
      </c>
      <c r="C76" s="16" t="s">
        <v>99</v>
      </c>
      <c r="D76" t="s">
        <v>189</v>
      </c>
    </row>
    <row r="77" spans="2:4" x14ac:dyDescent="0.25">
      <c r="B77" s="62" t="s">
        <v>190</v>
      </c>
      <c r="C77" s="16" t="s">
        <v>99</v>
      </c>
      <c r="D77" t="s">
        <v>191</v>
      </c>
    </row>
    <row r="78" spans="2:4" x14ac:dyDescent="0.25">
      <c r="B78" s="63" t="s">
        <v>192</v>
      </c>
      <c r="C78" s="16" t="s">
        <v>99</v>
      </c>
      <c r="D78" t="s">
        <v>193</v>
      </c>
    </row>
    <row r="79" spans="2:4" x14ac:dyDescent="0.25">
      <c r="B79" s="61" t="s">
        <v>194</v>
      </c>
      <c r="C79" s="16" t="s">
        <v>99</v>
      </c>
      <c r="D79" t="s">
        <v>195</v>
      </c>
    </row>
    <row r="80" spans="2:4" x14ac:dyDescent="0.25">
      <c r="B80" s="61" t="s">
        <v>196</v>
      </c>
      <c r="C80" s="16" t="s">
        <v>99</v>
      </c>
      <c r="D80" t="s">
        <v>197</v>
      </c>
    </row>
    <row r="81" spans="2:4" x14ac:dyDescent="0.25">
      <c r="B81" s="61" t="s">
        <v>198</v>
      </c>
      <c r="C81" s="16" t="s">
        <v>99</v>
      </c>
      <c r="D81" t="s">
        <v>199</v>
      </c>
    </row>
    <row r="82" spans="2:4" x14ac:dyDescent="0.25">
      <c r="B82" s="62" t="s">
        <v>200</v>
      </c>
      <c r="C82" s="16" t="s">
        <v>99</v>
      </c>
      <c r="D82" t="s">
        <v>201</v>
      </c>
    </row>
    <row r="83" spans="2:4" x14ac:dyDescent="0.25">
      <c r="B83" s="62" t="s">
        <v>202</v>
      </c>
      <c r="C83" s="16" t="s">
        <v>99</v>
      </c>
      <c r="D83" t="s">
        <v>203</v>
      </c>
    </row>
    <row r="84" spans="2:4" x14ac:dyDescent="0.25">
      <c r="B84" s="62" t="s">
        <v>204</v>
      </c>
      <c r="C84" s="16" t="s">
        <v>99</v>
      </c>
      <c r="D84" t="s">
        <v>205</v>
      </c>
    </row>
    <row r="85" spans="2:4" x14ac:dyDescent="0.25">
      <c r="B85" s="62" t="s">
        <v>206</v>
      </c>
      <c r="C85" s="16" t="s">
        <v>99</v>
      </c>
      <c r="D85" t="s">
        <v>207</v>
      </c>
    </row>
    <row r="86" spans="2:4" x14ac:dyDescent="0.25">
      <c r="B86" s="62" t="s">
        <v>208</v>
      </c>
      <c r="C86" s="16" t="s">
        <v>99</v>
      </c>
      <c r="D86" t="s">
        <v>209</v>
      </c>
    </row>
    <row r="87" spans="2:4" x14ac:dyDescent="0.25">
      <c r="B87" s="63" t="s">
        <v>210</v>
      </c>
      <c r="C87" s="16" t="s">
        <v>99</v>
      </c>
      <c r="D87" t="s">
        <v>211</v>
      </c>
    </row>
    <row r="88" spans="2:4" x14ac:dyDescent="0.25">
      <c r="B88" s="62" t="s">
        <v>212</v>
      </c>
      <c r="C88" s="16" t="s">
        <v>99</v>
      </c>
      <c r="D88" t="s">
        <v>213</v>
      </c>
    </row>
    <row r="89" spans="2:4" x14ac:dyDescent="0.25">
      <c r="B89" s="60" t="s">
        <v>214</v>
      </c>
      <c r="C89" s="16" t="s">
        <v>99</v>
      </c>
      <c r="D89" t="s">
        <v>215</v>
      </c>
    </row>
    <row r="90" spans="2:4" x14ac:dyDescent="0.25">
      <c r="B90" s="63" t="s">
        <v>216</v>
      </c>
      <c r="C90" s="16" t="s">
        <v>99</v>
      </c>
      <c r="D90" t="s">
        <v>217</v>
      </c>
    </row>
    <row r="91" spans="2:4" x14ac:dyDescent="0.25">
      <c r="B91" s="61" t="s">
        <v>218</v>
      </c>
      <c r="C91" s="16" t="s">
        <v>99</v>
      </c>
      <c r="D91" t="s">
        <v>219</v>
      </c>
    </row>
    <row r="92" spans="2:4" x14ac:dyDescent="0.25">
      <c r="B92" s="61" t="s">
        <v>220</v>
      </c>
      <c r="C92" s="16" t="s">
        <v>99</v>
      </c>
      <c r="D92" t="s">
        <v>221</v>
      </c>
    </row>
    <row r="93" spans="2:4" x14ac:dyDescent="0.25">
      <c r="B93" s="64" t="s">
        <v>222</v>
      </c>
      <c r="C93" s="16" t="s">
        <v>99</v>
      </c>
      <c r="D93" t="s">
        <v>223</v>
      </c>
    </row>
    <row r="94" spans="2:4" x14ac:dyDescent="0.25">
      <c r="B94" s="63" t="s">
        <v>224</v>
      </c>
      <c r="C94" s="16" t="s">
        <v>99</v>
      </c>
      <c r="D94" t="s">
        <v>225</v>
      </c>
    </row>
    <row r="95" spans="2:4" x14ac:dyDescent="0.25">
      <c r="B95" s="62" t="s">
        <v>226</v>
      </c>
      <c r="C95" s="16" t="s">
        <v>99</v>
      </c>
      <c r="D95" t="s">
        <v>227</v>
      </c>
    </row>
    <row r="96" spans="2:4" x14ac:dyDescent="0.25">
      <c r="B96" s="61" t="s">
        <v>228</v>
      </c>
      <c r="C96" s="16" t="s">
        <v>99</v>
      </c>
      <c r="D96" t="s">
        <v>229</v>
      </c>
    </row>
    <row r="97" spans="2:4" x14ac:dyDescent="0.25">
      <c r="B97" s="61" t="s">
        <v>230</v>
      </c>
      <c r="C97" s="16" t="s">
        <v>99</v>
      </c>
      <c r="D97" t="s">
        <v>231</v>
      </c>
    </row>
    <row r="98" spans="2:4" x14ac:dyDescent="0.25">
      <c r="B98" s="61" t="s">
        <v>232</v>
      </c>
      <c r="C98" s="16" t="s">
        <v>99</v>
      </c>
      <c r="D98" t="s">
        <v>233</v>
      </c>
    </row>
    <row r="99" spans="2:4" x14ac:dyDescent="0.25">
      <c r="B99" s="61" t="s">
        <v>234</v>
      </c>
      <c r="C99" s="16" t="s">
        <v>99</v>
      </c>
      <c r="D99" t="s">
        <v>235</v>
      </c>
    </row>
    <row r="100" spans="2:4" x14ac:dyDescent="0.25">
      <c r="B100" s="61" t="s">
        <v>236</v>
      </c>
      <c r="C100" s="16" t="s">
        <v>99</v>
      </c>
      <c r="D100" t="s">
        <v>237</v>
      </c>
    </row>
    <row r="101" spans="2:4" x14ac:dyDescent="0.25">
      <c r="B101" s="63" t="s">
        <v>238</v>
      </c>
      <c r="C101" s="16" t="s">
        <v>99</v>
      </c>
      <c r="D101" t="s">
        <v>239</v>
      </c>
    </row>
    <row r="102" spans="2:4" x14ac:dyDescent="0.25">
      <c r="B102" s="61" t="s">
        <v>240</v>
      </c>
      <c r="C102" s="16" t="s">
        <v>99</v>
      </c>
      <c r="D102" t="s">
        <v>241</v>
      </c>
    </row>
    <row r="103" spans="2:4" x14ac:dyDescent="0.25">
      <c r="B103" s="61" t="s">
        <v>242</v>
      </c>
      <c r="C103" s="16" t="s">
        <v>99</v>
      </c>
      <c r="D103" t="s">
        <v>243</v>
      </c>
    </row>
    <row r="104" spans="2:4" x14ac:dyDescent="0.25">
      <c r="B104" s="61" t="s">
        <v>244</v>
      </c>
      <c r="C104" s="16" t="s">
        <v>99</v>
      </c>
      <c r="D104" t="s">
        <v>245</v>
      </c>
    </row>
    <row r="105" spans="2:4" x14ac:dyDescent="0.25">
      <c r="B105" s="61" t="s">
        <v>246</v>
      </c>
      <c r="C105" s="16" t="s">
        <v>99</v>
      </c>
      <c r="D105" t="s">
        <v>247</v>
      </c>
    </row>
    <row r="106" spans="2:4" x14ac:dyDescent="0.25">
      <c r="B106" s="62" t="s">
        <v>248</v>
      </c>
      <c r="C106" s="16" t="s">
        <v>99</v>
      </c>
      <c r="D106" t="s">
        <v>249</v>
      </c>
    </row>
    <row r="107" spans="2:4" x14ac:dyDescent="0.25">
      <c r="B107" s="61" t="s">
        <v>250</v>
      </c>
      <c r="C107" s="16" t="s">
        <v>99</v>
      </c>
      <c r="D107" t="s">
        <v>251</v>
      </c>
    </row>
    <row r="108" spans="2:4" x14ac:dyDescent="0.25">
      <c r="B108" s="60" t="s">
        <v>252</v>
      </c>
      <c r="C108" s="16" t="s">
        <v>99</v>
      </c>
      <c r="D108" t="s">
        <v>253</v>
      </c>
    </row>
    <row r="109" spans="2:4" x14ac:dyDescent="0.25">
      <c r="B109" s="63" t="s">
        <v>254</v>
      </c>
      <c r="C109" s="16" t="s">
        <v>99</v>
      </c>
      <c r="D109" t="s">
        <v>255</v>
      </c>
    </row>
    <row r="110" spans="2:4" x14ac:dyDescent="0.25">
      <c r="B110" s="60" t="s">
        <v>256</v>
      </c>
      <c r="C110" s="16" t="s">
        <v>99</v>
      </c>
      <c r="D110" t="s">
        <v>257</v>
      </c>
    </row>
    <row r="111" spans="2:4" x14ac:dyDescent="0.25">
      <c r="B111" s="61" t="s">
        <v>258</v>
      </c>
      <c r="C111" s="16" t="s">
        <v>99</v>
      </c>
      <c r="D111" t="s">
        <v>259</v>
      </c>
    </row>
    <row r="112" spans="2:4" x14ac:dyDescent="0.25">
      <c r="B112" s="62" t="s">
        <v>260</v>
      </c>
      <c r="C112" s="16" t="s">
        <v>99</v>
      </c>
      <c r="D112" t="s">
        <v>261</v>
      </c>
    </row>
    <row r="113" spans="2:4" x14ac:dyDescent="0.25">
      <c r="B113" s="61" t="s">
        <v>262</v>
      </c>
      <c r="C113" s="16" t="s">
        <v>99</v>
      </c>
      <c r="D113" t="s">
        <v>263</v>
      </c>
    </row>
    <row r="114" spans="2:4" x14ac:dyDescent="0.25">
      <c r="B114" s="63" t="s">
        <v>264</v>
      </c>
      <c r="C114" s="16" t="s">
        <v>99</v>
      </c>
      <c r="D114" t="s">
        <v>265</v>
      </c>
    </row>
    <row r="115" spans="2:4" x14ac:dyDescent="0.25">
      <c r="B115" s="60" t="s">
        <v>266</v>
      </c>
      <c r="C115" s="16" t="s">
        <v>99</v>
      </c>
      <c r="D115" t="s">
        <v>267</v>
      </c>
    </row>
    <row r="116" spans="2:4" x14ac:dyDescent="0.25">
      <c r="B116" s="61" t="s">
        <v>268</v>
      </c>
      <c r="C116" s="16" t="s">
        <v>99</v>
      </c>
      <c r="D116" t="s">
        <v>269</v>
      </c>
    </row>
    <row r="117" spans="2:4" x14ac:dyDescent="0.25">
      <c r="B117" s="62" t="s">
        <v>270</v>
      </c>
      <c r="C117" s="16" t="s">
        <v>99</v>
      </c>
      <c r="D117" t="s">
        <v>271</v>
      </c>
    </row>
    <row r="118" spans="2:4" x14ac:dyDescent="0.25">
      <c r="B118" s="62" t="s">
        <v>272</v>
      </c>
      <c r="C118" s="16" t="s">
        <v>99</v>
      </c>
      <c r="D118" t="s">
        <v>273</v>
      </c>
    </row>
    <row r="119" spans="2:4" x14ac:dyDescent="0.25">
      <c r="B119" s="61" t="s">
        <v>274</v>
      </c>
      <c r="C119" s="16" t="s">
        <v>99</v>
      </c>
      <c r="D119" t="s">
        <v>275</v>
      </c>
    </row>
    <row r="120" spans="2:4" x14ac:dyDescent="0.25">
      <c r="B120" s="61" t="s">
        <v>276</v>
      </c>
      <c r="C120" s="16" t="s">
        <v>99</v>
      </c>
      <c r="D120" t="s">
        <v>277</v>
      </c>
    </row>
    <row r="121" spans="2:4" x14ac:dyDescent="0.25">
      <c r="B121" s="63" t="s">
        <v>278</v>
      </c>
      <c r="C121" s="16" t="s">
        <v>99</v>
      </c>
      <c r="D121" t="s">
        <v>279</v>
      </c>
    </row>
    <row r="122" spans="2:4" x14ac:dyDescent="0.25">
      <c r="B122" s="61" t="s">
        <v>280</v>
      </c>
      <c r="C122" s="16" t="s">
        <v>99</v>
      </c>
      <c r="D122" t="s">
        <v>281</v>
      </c>
    </row>
    <row r="123" spans="2:4" x14ac:dyDescent="0.25">
      <c r="B123" s="61" t="s">
        <v>282</v>
      </c>
      <c r="C123" s="16" t="s">
        <v>99</v>
      </c>
      <c r="D123" t="s">
        <v>283</v>
      </c>
    </row>
    <row r="124" spans="2:4" x14ac:dyDescent="0.25">
      <c r="B124" s="65" t="s">
        <v>284</v>
      </c>
      <c r="C124" s="16" t="s">
        <v>99</v>
      </c>
      <c r="D124" t="s">
        <v>285</v>
      </c>
    </row>
  </sheetData>
  <mergeCells count="4">
    <mergeCell ref="B2:D2"/>
    <mergeCell ref="F2:F3"/>
    <mergeCell ref="H2:J2"/>
    <mergeCell ref="L2:L3"/>
  </mergeCells>
  <printOptions gridLines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</vt:i4>
      </vt:variant>
    </vt:vector>
  </HeadingPairs>
  <TitlesOfParts>
    <vt:vector size="8" baseType="lpstr">
      <vt:lpstr>Реестр</vt:lpstr>
      <vt:lpstr>Этаж1</vt:lpstr>
      <vt:lpstr>Этаж2</vt:lpstr>
      <vt:lpstr>Этаж3</vt:lpstr>
      <vt:lpstr>Списки</vt:lpstr>
      <vt:lpstr>Локации</vt:lpstr>
      <vt:lpstr>Статусы</vt:lpstr>
      <vt:lpstr>Ячейки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XPS</dc:creator>
  <cp:lastModifiedBy>Бедрицкий Михаил Реональдович</cp:lastModifiedBy>
  <cp:lastPrinted>2016-12-06T07:57:35Z</cp:lastPrinted>
  <dcterms:created xsi:type="dcterms:W3CDTF">2016-12-02T09:58:35Z</dcterms:created>
  <dcterms:modified xsi:type="dcterms:W3CDTF">2016-12-08T14:53:34Z</dcterms:modified>
</cp:coreProperties>
</file>